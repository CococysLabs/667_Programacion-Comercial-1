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4"/>
    <sheet state="visible" name="Competencias" sheetId="2" r:id="rId5"/>
    <sheet state="visible" name="Diseño" sheetId="3" r:id="rId6"/>
    <sheet state="visible" name="Semana Diagnostico" sheetId="4" r:id="rId7"/>
    <sheet state="visible" name="S.2" sheetId="5" r:id="rId8"/>
    <sheet state="visible" name="S.3" sheetId="6" r:id="rId9"/>
    <sheet state="visible" name="S.4" sheetId="7" r:id="rId10"/>
    <sheet state="visible" name="S.5" sheetId="8" r:id="rId11"/>
    <sheet state="visible" name="S.6" sheetId="9" r:id="rId12"/>
    <sheet state="visible" name="S.7" sheetId="10" r:id="rId13"/>
    <sheet state="visible" name="S.8" sheetId="11" r:id="rId14"/>
    <sheet state="visible" name="S.9" sheetId="12" r:id="rId15"/>
    <sheet state="visible" name="S.10" sheetId="13" r:id="rId16"/>
    <sheet state="visible" name="S.11" sheetId="14" r:id="rId17"/>
    <sheet state="visible" name="Proyectos" sheetId="15" r:id="rId18"/>
    <sheet state="visible" name="Practicas" sheetId="16" r:id="rId19"/>
    <sheet state="visible" name="Tareas" sheetId="17" r:id="rId20"/>
    <sheet state="visible" name="Metadata" sheetId="18" r:id="rId21"/>
  </sheets>
  <definedNames/>
  <calcPr/>
  <extLst>
    <ext uri="GoogleSheetsCustomDataVersion2">
      <go:sheetsCustomData xmlns:go="http://customooxmlschemas.google.com/" r:id="rId22" roundtripDataChecksum="TDFwVdlQn9IsgBRNFNxHuinLql/vWwJ2CBXBUm33AS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<sst xmlns="http://schemas.openxmlformats.org/spreadsheetml/2006/main" count="1486" uniqueCount="475">
  <si>
    <t xml:space="preserve">Resumen de Ponderacion y Horas </t>
  </si>
  <si>
    <t>Curso</t>
  </si>
  <si>
    <t>667 - Programacion Comercial 1</t>
  </si>
  <si>
    <t>Semestre que aplica</t>
  </si>
  <si>
    <t>Segundo Semestre 2026</t>
  </si>
  <si>
    <t>Total de Puntos del Laboratorio</t>
  </si>
  <si>
    <t>* Esta sección se auto completa al momento en que se llene a la información de la planificación</t>
  </si>
  <si>
    <t>** Tomar como base la distribución realizada por el coordinador del area del curso en el documento de criterios y expectativas</t>
  </si>
  <si>
    <t>Tipo de Actividad</t>
  </si>
  <si>
    <t>Ponderacion</t>
  </si>
  <si>
    <t>Horas utilizadas</t>
  </si>
  <si>
    <t>Aspectos clave que debe abordar</t>
  </si>
  <si>
    <t>Valor Maximo Recomendado</t>
  </si>
  <si>
    <t>Actividades durante el peridodo de laboratorio</t>
  </si>
  <si>
    <t>Proyectos</t>
  </si>
  <si>
    <t>Prácticas</t>
  </si>
  <si>
    <t>Tareas</t>
  </si>
  <si>
    <t>Total</t>
  </si>
  <si>
    <t>Validacion</t>
  </si>
  <si>
    <t>Final</t>
  </si>
  <si>
    <t>Proyecto</t>
  </si>
  <si>
    <t>Proyecto2</t>
  </si>
  <si>
    <t>HT</t>
  </si>
  <si>
    <t>Competencias que se formaran en el Segundo Semestre 2026</t>
  </si>
  <si>
    <t>Competencias relacionadas al perfil del egresado (Especifica)</t>
  </si>
  <si>
    <t>Competencias relacionadas al perfil del egresado (General)</t>
  </si>
  <si>
    <t>Identifica oportunidades y riesgos para la innovación y adaptación de
 conocimientos y tecnologías para resolver problemas.</t>
  </si>
  <si>
    <t>Maneja e Interpreta adecuadamente datos masivos, sean estos
 estructurados o no estructurados, facilitando su visualización e interpretación
 de forma eficaz en apoyo a la toma de decisiones.</t>
  </si>
  <si>
    <t>Toma decisiones profesionales con base en fundamentos teóricos, datos e
 información pertinente, válida y confiable.</t>
  </si>
  <si>
    <t>Aplica principios básicos de ingeniería, ciencias de computación y sistemas
 de información y comunicación, en la formulación y resolución adecuada de
 problemas complejos.</t>
  </si>
  <si>
    <t>Demuestra destreza y habilidad en la selección, uso y adaptación de
 herramientas metodológicas, tecnológicas, equipos especializados y en la
 lectura e interpretación de datos, pertinentes al contexto de su ejercicio
 profesional.</t>
  </si>
  <si>
    <t>Aplica conocimientos tecnológicos con ética profesional y respetando y
 cuidando los recursos naturales, humanos y financieros.</t>
  </si>
  <si>
    <t>No</t>
  </si>
  <si>
    <t>Tipo</t>
  </si>
  <si>
    <t>Verbo en Presente</t>
  </si>
  <si>
    <t>Objeto de la acción</t>
  </si>
  <si>
    <t>[Palabras conectoreas] Herramientas o metodología</t>
  </si>
  <si>
    <t>[Palabras conectoreas] Condiciones específicas</t>
  </si>
  <si>
    <t>Nivel</t>
  </si>
  <si>
    <t>Especifica</t>
  </si>
  <si>
    <t>Identifica</t>
  </si>
  <si>
    <t>los elementos de una base de datos relacional</t>
  </si>
  <si>
    <t>mediante la exploración de Motores de bases de datos</t>
  </si>
  <si>
    <t>para comprender estructura y organización de datos</t>
  </si>
  <si>
    <t>Aplica</t>
  </si>
  <si>
    <t>la creación de tablas, consultas y formularios</t>
  </si>
  <si>
    <t>utilizando motores de bases de datos</t>
  </si>
  <si>
    <t>para resolver problemas prácticos de gestión de información</t>
  </si>
  <si>
    <t>Analiza</t>
  </si>
  <si>
    <t>la relación entre tareas, recursos y cronogramas</t>
  </si>
  <si>
    <t>con Microsoft Project</t>
  </si>
  <si>
    <t>para planificar proyectos académicos o simulados de manera ordenada</t>
  </si>
  <si>
    <t>Desarolla</t>
  </si>
  <si>
    <t>dasboards interactivos</t>
  </si>
  <si>
    <t>mediante Power BI</t>
  </si>
  <si>
    <t>para visualizar datos integrados de Access y Excel en un entorno práctico</t>
  </si>
  <si>
    <t>Evalúa</t>
  </si>
  <si>
    <t>la importancia de la ética en el uso de datos</t>
  </si>
  <si>
    <t>mediante el análisis de normativas y casos reales</t>
  </si>
  <si>
    <t>para proponer soluciones tecnológicas</t>
  </si>
  <si>
    <t>Integra</t>
  </si>
  <si>
    <t>datos de múltiples fuentes</t>
  </si>
  <si>
    <t>con prácticas de laboratorio</t>
  </si>
  <si>
    <t>para generar reportes que appoyen la toma de decisiones</t>
  </si>
  <si>
    <t>Crea</t>
  </si>
  <si>
    <t>un proyecto final de análisis y presentación de información</t>
  </si>
  <si>
    <t>utilizando Access Project y Power BI de manera conjunta</t>
  </si>
  <si>
    <t>bajo lineamientos de calidad</t>
  </si>
  <si>
    <t>Ejemplos. https://drive.google.com/drive/folders/1szLcpzkwozPD6nD4uuaiZQ3mmDRuVKVy?usp=sharing</t>
  </si>
  <si>
    <t>Si las competencias son las misma que el semetre anterior compartenos tu opinion de porque no se cambiaron</t>
  </si>
  <si>
    <t>No se cambiaron porque el curso conserva su misma orientación académica y continúa trabajando tecnologías vigentes, por lo que las competencias siguen siendo pertinentes para la formación del estudiante</t>
  </si>
  <si>
    <t>Diseño de Contenido Curricular</t>
  </si>
  <si>
    <t>semestre que aplica</t>
  </si>
  <si>
    <t>No.</t>
  </si>
  <si>
    <t>Competencia</t>
  </si>
  <si>
    <t>Nombre de la Unidad</t>
  </si>
  <si>
    <t>Tema</t>
  </si>
  <si>
    <t>Subtema</t>
  </si>
  <si>
    <t>Mes</t>
  </si>
  <si>
    <t>Semana</t>
  </si>
  <si>
    <t xml:space="preserve">Identifica los elementos de una base de datos relacional mediante la exploración de Motores de bases de datos para comprender estructura y organización de datos </t>
  </si>
  <si>
    <t xml:space="preserve">1.  Base de datos </t>
  </si>
  <si>
    <t>Introducción a las bases de datos</t>
  </si>
  <si>
    <t>Introduccion a las bases de datos</t>
  </si>
  <si>
    <t>Conceptos Iniciales de las bases de datos</t>
  </si>
  <si>
    <t>Qué es una base de datos, tabla, registro.</t>
  </si>
  <si>
    <t>Tipos de bases de datos</t>
  </si>
  <si>
    <t>Gestores en las bases de datos</t>
  </si>
  <si>
    <t>Conceptos iniciales de las bases de datos</t>
  </si>
  <si>
    <t>¿Qué es SQL Server?</t>
  </si>
  <si>
    <t>RDBMS, T-SQL, casos de uso, características clave</t>
  </si>
  <si>
    <t>Instalación y conexión</t>
  </si>
  <si>
    <t>Edición Developer, SSMS, modo de autenticación, conexión inicial</t>
  </si>
  <si>
    <t>Creación de la base de datos</t>
  </si>
  <si>
    <t>CREATE DATABASE y contexto USE</t>
  </si>
  <si>
    <t>Tablas y tipos de datos</t>
  </si>
  <si>
    <t>INT, DECIMAL(p,s), NVARCHAR(n), DATE/DATETIME, BIT, PRIMARY KEY, IDENTITY, NOT NULL</t>
  </si>
  <si>
    <t>Inserción de datos</t>
  </si>
  <si>
    <t>INSERT INTO ... VALUES (...) (múltiples filas)</t>
  </si>
  <si>
    <t>SELECT básico</t>
  </si>
  <si>
    <t>SELECT *, proyección de columnas, WHERE, ORDER BY</t>
  </si>
  <si>
    <t>Hoja de Trabajo 1</t>
  </si>
  <si>
    <t>Ejercicio integrador: BD + tablas + inserts + consultas</t>
  </si>
  <si>
    <t>Creación de una base de datos</t>
  </si>
  <si>
    <t>Aplicación de conceptos diagrama entidad relación</t>
  </si>
  <si>
    <t xml:space="preserve">Aplica la creación de tablas, consultas y formularios utilizando motores de bases de datos para resolver problemas prácticos de gestión de información </t>
  </si>
  <si>
    <t>Formularios y consultas</t>
  </si>
  <si>
    <t>Tipos de formularios</t>
  </si>
  <si>
    <t>Controles y validación en formularios</t>
  </si>
  <si>
    <t>Eventos en formularios</t>
  </si>
  <si>
    <t>Diseño y utilidad de formularios</t>
  </si>
  <si>
    <t>consultas y conceptos básicos</t>
  </si>
  <si>
    <t>Consultas de selección</t>
  </si>
  <si>
    <t>Consulta de Acción</t>
  </si>
  <si>
    <t>Tipos de datos y consultas basicas</t>
  </si>
  <si>
    <t>INT/SMALLINT/BIGINT, DECIMAL vs MONEY, exactos vs aproximados</t>
  </si>
  <si>
    <t>Precisión, usos y defaults (SYSDATETIME/SYSUTCDATETIME)</t>
  </si>
  <si>
    <t>Unicode, collation, longitud fija vs variable</t>
  </si>
  <si>
    <t>Elección en OLTP, impacto en índices</t>
  </si>
  <si>
    <t>Cuándo usar cada una; costos y estadísticas</t>
  </si>
  <si>
    <t>Plantilla, reglas ON vs WHERE, filtros por fecha</t>
  </si>
  <si>
    <t>Ventanas (ROW_NUMBER, SUM OVER), SCOPE_IDENTITY(), TRY/CATCH + TRAN</t>
  </si>
  <si>
    <t xml:space="preserve">Analiza la relación entre tareas, recursos y cronogramas con Microsoft Project para planificar proyectos académicos o simulados de manera ordenada </t>
  </si>
  <si>
    <t>2. Microsoft Project</t>
  </si>
  <si>
    <t>Gestión de proyectos</t>
  </si>
  <si>
    <t>Introduccion a la gestión de proyectos</t>
  </si>
  <si>
    <t>Instalación Microsoft proyect o Project libre</t>
  </si>
  <si>
    <t>Fundamentos de la Planificación de Proyectos</t>
  </si>
  <si>
    <t>¿Qué es un proyeco y tipos de proyectos?</t>
  </si>
  <si>
    <t>Teoría de Microsoft Project</t>
  </si>
  <si>
    <t>Explorando la interfaz de Microsoft Project o project libre</t>
  </si>
  <si>
    <t>Características de un proyecto</t>
  </si>
  <si>
    <t>Planificación de Tareas</t>
  </si>
  <si>
    <t>Ciclo de vida de un proyecto</t>
  </si>
  <si>
    <t>Roles en la gestión de proyectos</t>
  </si>
  <si>
    <t>Definición de objetivos y Alcance del proyecto</t>
  </si>
  <si>
    <t>Asignación de Recursos</t>
  </si>
  <si>
    <t>Estructura de desglose de trabajo</t>
  </si>
  <si>
    <t>Estimación de tiempos y costos</t>
  </si>
  <si>
    <t>Asignación de recursos</t>
  </si>
  <si>
    <t>Gestión de Costos</t>
  </si>
  <si>
    <t>Análisis de costos</t>
  </si>
  <si>
    <t xml:space="preserve">Evalúa la importancia de la ética en el uso de datos mediante el análisis de normativas y casos reales para proponer soluciones tecnológicas </t>
  </si>
  <si>
    <t>3. Powe Bi</t>
  </si>
  <si>
    <t>Analisis de datos</t>
  </si>
  <si>
    <t>Interpretación de costos</t>
  </si>
  <si>
    <t>Evaluación de costos en tomas de desiciones</t>
  </si>
  <si>
    <t>¿Qué es el análisis de datos?</t>
  </si>
  <si>
    <t>Conceptos básicos: datos, información y conocimiento.</t>
  </si>
  <si>
    <t>Tipos de análisis: descriptivo, predictivo, prescriptivo.</t>
  </si>
  <si>
    <t>Introducción a Power BI</t>
  </si>
  <si>
    <t>¿Qué es Power BI y para qué sirve?</t>
  </si>
  <si>
    <t xml:space="preserve">Desarolla dasboards interactivos mediante Power BI para visualizar datos integrados de Access y Excel en un entorno práctico </t>
  </si>
  <si>
    <t>Power BI</t>
  </si>
  <si>
    <t>Elementos principales: Desktop, Service y Mobile.</t>
  </si>
  <si>
    <t>Instalación y exploración de power bi</t>
  </si>
  <si>
    <t>Primeros pasos: configuración inicial</t>
  </si>
  <si>
    <t>Conociendo la interfaz</t>
  </si>
  <si>
    <t>Áreas de trabajo: Informe, Datos y Modelo</t>
  </si>
  <si>
    <t>Herramientas y páneles principales</t>
  </si>
  <si>
    <t>Carga de datos de ejemplo en Power BI</t>
  </si>
  <si>
    <t>Creación de gráficos y reportes</t>
  </si>
  <si>
    <t>Elaboración de gráficos básicos</t>
  </si>
  <si>
    <t>Barras, líneas, áreas y circulares.</t>
  </si>
  <si>
    <t>Personalización: colores, etiquetas y leyendas.</t>
  </si>
  <si>
    <t>Gráficos avanzados</t>
  </si>
  <si>
    <t>Slicers, tarjetas de KPIs y combinaciones de gráficos.</t>
  </si>
  <si>
    <t>Uso de visualizaciones del marketplace.</t>
  </si>
  <si>
    <t>Interacción entre visualizaciones</t>
  </si>
  <si>
    <t>Uso de filtros y segmentadores</t>
  </si>
  <si>
    <t>Jerarquías y drill down</t>
  </si>
  <si>
    <t>Panel de filtros a nivel visual, página y reporte</t>
  </si>
  <si>
    <t>Botones, marcadores y navegación</t>
  </si>
  <si>
    <t>Publicación en Power BI Service</t>
  </si>
  <si>
    <t>Compartir dashboards y actualización básica</t>
  </si>
  <si>
    <t>Tiempo</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</si>
  <si>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</si>
  <si>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 xml:space="preserve">1. Bienvenida y Presentación                                   </t>
  </si>
  <si>
    <t>Tiempo Aproximado</t>
  </si>
  <si>
    <t>No puedes excederte mas de 15 minutos</t>
  </si>
  <si>
    <t xml:space="preserve">Nombre y Formacion Academica </t>
  </si>
  <si>
    <t>Nombre del auxiliar, carrera a la que pertenece, semestre que cursan</t>
  </si>
  <si>
    <t xml:space="preserve">Experiencia docente y profecional </t>
  </si>
  <si>
    <t>Indicar  semestre de auxiliar</t>
  </si>
  <si>
    <t>Rol del auxiliar dentro del curso (funciones, actividades y apoyo a los estudiantes).</t>
  </si>
  <si>
    <t>Indicar métricas, calificaciones, fechas, calificaciones a realizar por parte del auxiliar</t>
  </si>
  <si>
    <t>Expectativas sobre la dinámica del curso</t>
  </si>
  <si>
    <t>Que el estudiante aprenda las habilidades impartidas en el curso, a través de presentaciones iteractivas, dinámicas mediante 
actividades que complementen el contenido impartido en el curso.</t>
  </si>
  <si>
    <t xml:space="preserve">Tiempo que emplearas </t>
  </si>
  <si>
    <t xml:space="preserve">2. Evaluación de Conocimientos Previos                             </t>
  </si>
  <si>
    <t>No puedes excederte mas de 45 minutos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</si>
  <si>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</si>
  <si>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de 15 a 20 preguntas con sus respectivas respuestas , por lo que debes escoge los temas que evaluaras</t>
  </si>
  <si>
    <t xml:space="preserve">¿Qué es una base de datos y para qué se utiliza?
Una base de datos es un conjunto organizado de información que se almacena y gestiona de manera estructurada para facilitar su acceso, consulta y manipulación.
¿Cuál es la diferencia entre una base de datos relacional y una no relacional?
La relacional organiza la información en tablas con relaciones definidas mediante claves; la no relacional usa estructuras flexibles como documentos, grafos o pares clave-valor.
¿Qué es un modelo entidad-relación?
Es una representación gráfica que muestra las entidades de un sistema, sus atributos y las relaciones entre ellas.
¿Qué es una clave primaria en una tabla?
Es un campo o conjunto de campos que identifica de forma única cada registro en una tabla.
¿Qué es una clave foránea?
Es un campo en una tabla que se relaciona con la clave primaria de otra tabla para establecer una relación entre ambas.
¿Qué es la normalización de una base de datos?
Es el proceso de organizar los datos para reducir redundancias y mejorar la integridad.
¿Qué es una transacción en bases de datos?
Es una unidad lógica de trabajo que agrupa varias operaciones y que cumple con las propiedades ACID: atomicidad, consistencia, aislamiento y durabilidad.
¿Qué es un índice en bases de datos?
Es una estructura que mejora la velocidad de las consultas al permitir accesos más rápidos a los registros.
¿Qué es SQL y para qué sirve?
SQL es un lenguaje estándar para definir, consultar y manipular datos en bases de datos relacionales.
¿Qué es un procedimiento almacenado?
Es un conjunto de instrucciones SQL almacenadas en el servidor que pueden ejecutarse para realizar operaciones específicas.
¿Qué es la planificación de proyectos en Microsoft Project?
Es la organización y gestión de tareas, recursos y tiempos dentro de un proyecto mediante la herramienta Microsoft Project.
¿Qué es un diagrama de Gantt en Microsoft Project?
Es una representación gráfica del cronograma del proyecto que muestra las tareas en el tiempo y sus dependencias.
¿Qué son las dependencias entre tareas en Microsoft Project?
Son las relaciones que definen el orden en que deben ejecutarse las tareas de un proyecto.
¿Qué es la ruta crítica en la planificación de proyectos?
Es la secuencia de tareas que determina la duración total mínima del proyecto; si alguna se retrasa, el proyecto completo se retrasa.
¿Qué es la asignación de recursos en Microsoft Project?
Es el proceso de asociar personas, equipos o materiales a tareas específicas para su ejecución dentro del proyecto.
</t>
  </si>
  <si>
    <t>Redactaras una parte practica para realizar la evaluacion de conocimientos previos</t>
  </si>
  <si>
    <t>Se relizara un ejercicio de un quiz con prrguntas interactivas para su realización h compresióm previa de etemas</t>
  </si>
  <si>
    <t xml:space="preserve">3. Presentación de los Estudiantes                                </t>
  </si>
  <si>
    <t xml:space="preserve">No puedes excederte mas de 30 minutos </t>
  </si>
  <si>
    <t>Seleccion al Azar de 5 Estudiantes</t>
  </si>
  <si>
    <t>Elige a través de meet a 5 estudiantes para hacer preguntas de conocimientos previos</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</si>
  <si>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</si>
  <si>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Indica las preguntas que responderan los estudiantes afortunados</t>
  </si>
  <si>
    <t>¿Qué significa SQL?
SQL significa Structured Query Language y se utiliza para manejar y consultar bases de datos.
¿Qué es una tabla en una base de datos?
Es una estructura que organiza los datos en filas y columnas.</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</si>
  <si>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</si>
  <si>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</si>
  <si>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</si>
  <si>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</si>
  <si>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https://docs.google.com/forms/d/e/1FAIpQLSfg-J4rYH0YvdDWDED9zBTHV0i8563q1EZcWcI-AAwdLIqQEw/viewform?usp=sharing&amp;ouid=106956778603863897718</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</si>
  <si>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</si>
  <si>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</si>
  <si>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 xml:space="preserve">Jueves de 18:00-20:00 Viernes de 18:00-20:00  Sábados de 8:00 - 13:00 </t>
  </si>
  <si>
    <t xml:space="preserve">5.  Mostrar Programa del Curso                 </t>
  </si>
  <si>
    <t>No puedes excederte mas de 30 minutos</t>
  </si>
  <si>
    <t xml:space="preserve">6. Evaluación de Conocimientos del Curso Actual                                  </t>
  </si>
  <si>
    <t xml:space="preserve">Redactaras 20 preguntas con sus respectivas respuestas </t>
  </si>
  <si>
    <t>¿Qué es una base de datos?
R: Es un conjunto organizado de información que se almacena y se puede consultar fácilmente.
¿Qué significa el modelo entidad–relación (E–R)?
R: Es una forma gráfica de representar las entidades, atributos y relaciones de un sistema.
¿Qué diferencia hay entre una entidad y un atributo?
R: Una entidad es un objeto o concepto (ej. Alumno), mientras que un atributo es una característica de la entidad (ej. nombre, edad).
¿Qué es una clave primaria?
R: Es un campo que identifica de manera única cada registro en una tabla.
¿Para qué sirve una relación en un diagrama E–R?
R: Sirve para mostrar cómo se asocian dos o más entidades.
Da un ejemplo de una entidad y sus atributos en un sistema escolar.
R: Entidad: Alumno. Atributos: Carnet, Nombre, Edad, Dirección.
¿Qué es una tabla en una base de datos relacional?
R: Es una estructura que organiza datos en filas (registros) y columnas (campos).
¿Qué diferencia hay entre una clave primaria y una clave foránea?
R: La clave primaria identifica de forma única un registro; la clave foránea enlaza una tabla con otra.
¿Qué tipo de software es Access?
R: Es un sistema de gestión de bases de datos relacional de Microsoft.
¿Para qué sirve un formulario en Access?
R: Para facilitar la entrada y visualización de datos en una tabla.
¿Qué es una consulta en Access?
R: Es una instrucción que permite filtrar, ordenar o combinar datos de una o varias tablas.
¿Qué diferencia hay entre una tabla y un reporte en Access?
R: La tabla almacena los datos; el reporte sirve para presentarlos de manera organizada e imprimible.
¿Para qué sirve Power BI?
R: Para analizar datos y crear reportes y dashboards interactivos.
¿Qué es un dashboard en Power BI?
R: Es un panel con varias visualizaciones que muestran indicadores clave de un conjunto de datos.
¿Qué tipo de fuentes de datos se pueden conectar en Power BI?
R: Archivos (Excel, CSV), bases de datos (SQL Server, Oracle, MySQL), servicios en la nube (Google Analytics, Azure, etc.).
¿Qué diferencia hay entre una tabla de datos y una visualización en Power BI?
R: La tabla de datos muestra la información en crudo, la visualización la presenta de forma gráfica (gráficas, mapas, etc.).
¿Qué es un proyecto?
R: Es un esfuerzo temporal con un objetivo definido y recursos limitados.
¿Qué significa el alcance de un proyecto?
R: Define qué se incluye y qué no se incluye en el trabajo del proyecto.
¿Cuál es la importancia de un cronograma en la gestión de proyectos?
R: Permite planificar y controlar las fechas y tareas del proyecto.
Menciona una herramienta digital que se pueda usar para gestionar proyectos.
R: Ejemplos: Microsoft Project, Trello, Asana, Jira.</t>
  </si>
  <si>
    <t>Diseño de la Sesión de Laboratorio</t>
  </si>
  <si>
    <t>Ponderación</t>
  </si>
  <si>
    <t>Validación de Tiempo</t>
  </si>
  <si>
    <t>1. Área Actitudinal (Saber Ser)</t>
  </si>
  <si>
    <t>Tiene que estar en un rango de 3 a 5 minutos</t>
  </si>
  <si>
    <t>Nombre del Valor</t>
  </si>
  <si>
    <t>Compromiso</t>
  </si>
  <si>
    <t>Descripcion</t>
  </si>
  <si>
    <t>Valor aplicado en las primeras semanas del inicio del laboratorio para fomentar en el estudiante la disciplina y compromiso.</t>
  </si>
  <si>
    <t>Como se relaciona con los conocimientos de la sesion y se aplicaria</t>
  </si>
  <si>
    <t>Compromiso: El iniciar el curso tomando en cuenta las métricas iniciales del curso para cumplic ocn las espectativas impuetas, dirigen al estudiante a un
compromiso para concluir de manera exitosa el curso</t>
  </si>
  <si>
    <t>2. Área Conocimiento (Saber)</t>
  </si>
  <si>
    <t>No puede exceder los 60 minutos</t>
  </si>
  <si>
    <t>Competencia a desarrollar</t>
  </si>
  <si>
    <t>2.1 Contenido</t>
  </si>
  <si>
    <t>Unidad</t>
  </si>
  <si>
    <t xml:space="preserve">Tema </t>
  </si>
  <si>
    <t>Sub Tema</t>
  </si>
  <si>
    <t>Bases de datos</t>
  </si>
  <si>
    <t>Introducción a la base de datos</t>
  </si>
  <si>
    <t>Teoría del  moitor de bases de datos a utilizar</t>
  </si>
  <si>
    <t>2.2 Recursos Educativos</t>
  </si>
  <si>
    <t>Tipo de Recurso a utilizar</t>
  </si>
  <si>
    <t>Rango Aproximando</t>
  </si>
  <si>
    <t>Presentacion</t>
  </si>
  <si>
    <t>Obligatorio</t>
  </si>
  <si>
    <t>3 a 10 minutos</t>
  </si>
  <si>
    <t>Video</t>
  </si>
  <si>
    <t>Lectura</t>
  </si>
  <si>
    <t>Optativo</t>
  </si>
  <si>
    <t>10-30</t>
  </si>
  <si>
    <t>Ejercicio Demostrativo</t>
  </si>
  <si>
    <t>20-40</t>
  </si>
  <si>
    <t>3. Área de Habilidades (Saber Hacer)</t>
  </si>
  <si>
    <t>Tiene que estar en un rango de 30 a 50 minutos</t>
  </si>
  <si>
    <t>Actividad 1 (Obligatoria)</t>
  </si>
  <si>
    <t>Competencia que predomina en la actividad</t>
  </si>
  <si>
    <t>Cuestionario</t>
  </si>
  <si>
    <t>Coloca el tiempo que usar en la actividad, un tiempo sugerido 30 minutos</t>
  </si>
  <si>
    <t>Descripcion de la Actividad</t>
  </si>
  <si>
    <t>Actividad de cuestionario interactivo a través de Kahoot donde los estudiantes responden preguntas relacionadas con conceptos básicos de bases de datos como tablas, registros, tipos de bases de datos y gestores.</t>
  </si>
  <si>
    <t>Actividad 2 (Optativa puedes hacerla si lo consideras apropiado)</t>
  </si>
  <si>
    <t>Práctica guiada</t>
  </si>
  <si>
    <t>Coloca el tiempo que usar en la actividad, un tiempo sugerido 20 minutos</t>
  </si>
  <si>
    <t>Exploración práctica de un gestor de base de datos (por ejemplo MySQL o SQL Server) donde el estudiante identifica tablas, campos y registros dentro de una base de datos de ejemplo.</t>
  </si>
  <si>
    <t>3. Cierre</t>
  </si>
  <si>
    <t>Tiene que estar en un rango de 10 a 15 minutos</t>
  </si>
  <si>
    <t>Asignacion de Actividades</t>
  </si>
  <si>
    <t>Se asigna como tarea investigar un gestor de base de datos adicional y describir sus características principales.</t>
  </si>
  <si>
    <t>Resuelve alguna duda, asigna las actividades que deben realizar, dudas de proyectos, etc</t>
  </si>
  <si>
    <t>Fidelidad, Honestidad, Justicia</t>
  </si>
  <si>
    <t>Breve conversación guiada sobre cómo estos valores sostienen la calidad del dato, la trazabilidad de cambios y la confianza en sistemas transaccionales.</t>
  </si>
  <si>
    <t>Fidelidad: seguir paso a paso la instalación y configuración de SQL Server/SSMS y crear objetos tal como se indica.
Honestidad: ejecutar SELECT y reportar resultados tal como salen (sin “arreglar” datos).
Justicia: uso responsable de autenticación/permisos en SQL Server y buenas prácticas al colaborar (pull requests, revisión de scripts).</t>
  </si>
  <si>
    <t xml:space="preserve">Crea un proyecto final de análisis y presentación de información utilizando Access Project y Power BI de manera conjunta bajo lineamientos de calidad </t>
  </si>
  <si>
    <t>Valor maximo recomendado en Minutos</t>
  </si>
  <si>
    <t>Tiempo Aproximado ( unicamente el valor de minutos )</t>
  </si>
  <si>
    <t>Ejercicio practico</t>
  </si>
  <si>
    <t>Siguiendo la guía proporcionada, instala SQL Server y SQL Server Management Studio (SSMS).
A continuación, crea una base de datos llamada PC1N y, dentro de ella, la tabla Estudiantes con los atributos: Nombres, Apellidos y Carnet.
Registra en la tabla tu información personal como un nuevo registro.</t>
  </si>
  <si>
    <t>Práctica adicional</t>
  </si>
  <si>
    <t>20 minutos</t>
  </si>
  <si>
    <t>El estudiante realizará consultas adicionales utilizando filtros (WHERE) y ordenamientos (ORDER BY) sobre la tabla creada, para reforzar la comprensión del lenguaje SQL.</t>
  </si>
  <si>
    <t>Breve conclusión de la clase y apartado de dudas.</t>
  </si>
  <si>
    <t>Comunicación Asertiva, Trabajo en Equipo y Toma de Decisiones</t>
  </si>
  <si>
    <t>Los valores fundamentales a desarrollar en esta sesión incluyen habilidades de comunicación, trabajo en equipo, resolución de conflictos, adaptabilidad y pensamiento crítico. Estos valores son esenciales para mejorar la interacción y el rendimiento tanto individual como grupal.</t>
  </si>
  <si>
    <t>Durante la sesión, estos valores se integran en las actividades y ejercicios prácticos que permiten a los participantes aplicar estos principios en escenarios reales. A través de dinámicas de grupo y reflexiones, los participantes fortalecerán estos valores en su entorno personal y profesional.</t>
  </si>
  <si>
    <t>Conceptos básicos, historia y evolución</t>
  </si>
  <si>
    <t>Modelos de bases de datos</t>
  </si>
  <si>
    <t>Relacional, jerárquico, en red</t>
  </si>
  <si>
    <t>Diseño de bases de datos</t>
  </si>
  <si>
    <t>Modelado entidad-relación, normalización</t>
  </si>
  <si>
    <t>Lenguaje SQL</t>
  </si>
  <si>
    <t>SELECT, INSERT, UPDATE, DELETE</t>
  </si>
  <si>
    <t>Normalización de bases de datos</t>
  </si>
  <si>
    <t>Primera, segunda, tercera forma normal</t>
  </si>
  <si>
    <t>Índices y optimización</t>
  </si>
  <si>
    <t>Tipos de índices, mejoras de rendimiento</t>
  </si>
  <si>
    <t>Procedimientos almacenados</t>
  </si>
  <si>
    <t>Definición, ventajas, ejemplos</t>
  </si>
  <si>
    <t>actividades</t>
  </si>
  <si>
    <t>El estudiante desarrollará ejercicios prácticos donde aplicará conceptos de bases de datos, incluyendo diseño entidad-relación, creación de tablas, consultas básicas y uso de formularios. Se trabajará con ejemplos guiados para reforzar la comprensión de la estructura y manipulación de datos.</t>
  </si>
  <si>
    <t>El estudiante diseñará formularios y consultas adicionales (de selección y acción) aplicando validaciones y eventos para mejorar la interacción con la base de datos.</t>
  </si>
  <si>
    <t>Resolución de dudas y retroalimentación sobre las actividades realizadas. Se recomienda reforzar los temas vistos mediante práctica adicional en casa.</t>
  </si>
  <si>
    <t>Microcharla guiada sobre cómo los valores sostienen calidad de datos, trazabilidad y seguridad al diseñar tipos/constraints y ejecutar T-SQL.</t>
  </si>
  <si>
    <t>Fidelidad: Selección correcta de tipos (INT/SMALLINT/BIGINT, NVARCHAR, DATETIME2, DECIMAL) y su impacto en rendimiento/índices.
Honestidad: Diferenciar numéricos exactos vs aproximados; no usar FLOAT para contabilidad.
Justicia: Otorgar GRANT solo necesario (lectura sobre vistas, no DML en tablas críticas).</t>
  </si>
  <si>
    <t>El estudiante realiza una actividad de representacion de entidades en una base de datos eligiendo los tipos de datos correctos.</t>
  </si>
  <si>
    <t>Resolución de dudas</t>
  </si>
  <si>
    <t>La comunicación asertiva, el trabajo en equipo y la toma de decisiones permiten organizar ideas, colaborar de forma efectiva y resolver situaciones de manera adecuada durante el desarrollo de proyectos.</t>
  </si>
  <si>
    <t>Se relaciona con la gestión de proyectos porque permite planificar tareas, coordinar actividades, asignar recursos y tomar decisiones al usar Microsoft Project o Project Libre.</t>
  </si>
  <si>
    <t>Comprende los fundamentos de la gestión de proyectos mediante Microsoft Project o Project Libre.</t>
  </si>
  <si>
    <t>Aplica herramientas básicas de Microsoft Project o Project Libre para planificar tareas, tiempos y recursos.</t>
  </si>
  <si>
    <t>otros</t>
  </si>
  <si>
    <t>Ejercicio practico en clase</t>
  </si>
  <si>
    <t>Aclaración de dudas</t>
  </si>
  <si>
    <t>Responsabilidad, Trabajo en Equipo y Toma de Decisiones</t>
  </si>
  <si>
    <t>Promueve la organización, el compromiso y la colaboración en la planificación de proyectos.</t>
  </si>
  <si>
    <t>Se aplica al definir tareas, roles, recursos, tiempos y costos en Microsoft Project.</t>
  </si>
  <si>
    <t>Comprende la planificación de tareas y el ciclo de vida de un proyecto.</t>
  </si>
  <si>
    <t>Aplica la asignación de recursos, tiempos y costos en Microsoft Project.</t>
  </si>
  <si>
    <t>Crea un plan básico de proyecto.</t>
  </si>
  <si>
    <t>Elabora un proyecto básico con tareas, roles, recursos, tiempos y costos.</t>
  </si>
  <si>
    <t>Analiza la planificación del proyecto.</t>
  </si>
  <si>
    <t>Ejercicio práctico</t>
  </si>
  <si>
    <t>Revisa y ajusta recursos, tiempos y costos de un proyecto de ejemplo.</t>
  </si>
  <si>
    <t>Crear un proyecto sencillo con tareas, recursos y costos estimados.</t>
  </si>
  <si>
    <t>Responsabilidad, Pensamiento Analítico y Toma de Decisiones</t>
  </si>
  <si>
    <t>Fomenta el análisis responsable de datos para apoyar decisiones informadas.</t>
  </si>
  <si>
    <t>Se aplica al interpretar costos y analizar datos en Power BI para apoyar decisiones.</t>
  </si>
  <si>
    <t xml:space="preserve">Integra datos de múltiples fuentes con prácticas de laboratorio para generar reportes que appoyen la toma de decisiones </t>
  </si>
  <si>
    <t>Diseñar un dashboard basico usando Power BI, Access y Excel.</t>
  </si>
  <si>
    <t>Crear un reporte sencillo en Power BI con datos, gráficos e interpretación básica.</t>
  </si>
  <si>
    <t>Disciplina</t>
  </si>
  <si>
    <t>Valor que ayudará al estudiante a poder completar entregas que presentan un reto para dicho estudiante.</t>
  </si>
  <si>
    <t>Disciplina: Se aplicará dicho valor, tomando en cuenta que es una de las últimas semanas en el curso el estudiante aprenderá a aplicar el valor para poder 
cumplir con las entregas finales en el laboratorio</t>
  </si>
  <si>
    <t>Respeto, Compromiso, Responsabilidad</t>
  </si>
  <si>
    <t>Aplicación práctica en la sesión: verificación de claves/relaciones en Access, captura de línea base y % avance en Project, y publicación segura de reportes en Power BI.</t>
  </si>
  <si>
    <t>Integridad de datos: registrar, consultar y reportar información tal como es (sin “maquillar” resultados). Aplica a tablas/relaciones en sql, a seguimiento real vs. plan en Project y a visualizaciones fieles en Power BI.
Responsabilidad en el seguimiento: mantener línea base y actualizar progreso con transparencia en Project; documentar transformaciones en Power Query.
Colaboración: compartir informes y dashboards con permisos adecuados; uso correcto sql server.</t>
  </si>
  <si>
    <t>El estudiante importa un dataset pequeño (CSV/Excel), realiza limpieza básica en Power Query (tipos, nulos, filtros), crea 2 medidas DAX (Total y Promedio) y arma 1 página de dashboard con 2–3 visuales (tarjetas + gráfico), listos para comentar hallazgos.</t>
  </si>
  <si>
    <t>Responsabilidad, Ética digital, Colaboración</t>
  </si>
  <si>
    <t>Aplicación práctica en la sesión: diseño responsable de dashboards, uso adecuado de filtros e interacciones y publicación segura de reportes.</t>
  </si>
  <si>
    <t>Uso responsable de la información: presentar indicadores de forma clara y sin distorsionar resultados.
Responsabilidad en la publicación: compartir dashboards con permisos adecuados y revisar la calidad de los datos mostrados.
Colaboración: construir reportes útiles para otros usuarios, facilitando la interpretación y la toma de decisiones.</t>
  </si>
  <si>
    <t>El estudiante toma el reporte creado en la sesión anterior, agrega segmentadores, configura interacciones entre visuales, aplica drill down y organiza una página interactiva lista para publicación o presentación.</t>
  </si>
  <si>
    <t>Resolución de dudas y asignación de mejorar el dashboard agregando filtros, navegación e interactividad.</t>
  </si>
  <si>
    <t>La sumatoria de los puntos de los proyectos debe superar el  60% del total de la nota, no puede ser un 100%</t>
  </si>
  <si>
    <t>1. Primer Proyecto</t>
  </si>
  <si>
    <t>Horas para realizarlo</t>
  </si>
  <si>
    <t>Titulo</t>
  </si>
  <si>
    <t>GuateInventario</t>
  </si>
  <si>
    <t>Qué tecnologías, lenguajes de programación, plataformas, hardware o software se utilizaran</t>
  </si>
  <si>
    <t>MySQL 8, MySQL Workebench, Archivos CSV, Sentencias SQL</t>
  </si>
  <si>
    <t>Descripción de lo que se realizara</t>
  </si>
  <si>
    <t>Se desarrollará una base de datos en MySQL que satisfaga los requerimientos de un sistema de control de inventario. Se diseñarán tablas con llaves primarias, foráneas y restricciones de integridad. Se cargarán datos de prueba y se elaborarán consultas SQL para responder preguntas de gestión como productos con stock bajo, entradas y salidas de mercancía, y reportes por categoría.</t>
  </si>
  <si>
    <t>2. Segundo Proyecto</t>
  </si>
  <si>
    <t>GuateAnalytics</t>
  </si>
  <si>
    <t>MySQL 8, Power BI Desktop, Conector MySQL para Power BI, MySQL Workbench</t>
  </si>
  <si>
    <t>Con el sistema de base de datos que se realizó en la primera fase, se integrará con Power BI mostrando los KPIs y reportes más importantes del sistema de inventario: stock disponible por categoría, productos con bajo inventario, movimientos de entrada y salida por periodo, y análisis de proveedores. El dashboard permitirá la toma de decisiones gerenciales de forma visual e interactiva.</t>
  </si>
  <si>
    <t>3. Tercer Proyecto</t>
  </si>
  <si>
    <t>Optativa</t>
  </si>
  <si>
    <t>Practicas</t>
  </si>
  <si>
    <t>La sumatoria de los puntos de los practicas debe no debe super el  20%</t>
  </si>
  <si>
    <t>1. Primera Practica</t>
  </si>
  <si>
    <t>Obligatoria</t>
  </si>
  <si>
    <t>2. Segunda Practica</t>
  </si>
  <si>
    <t>3. Tercera Practica</t>
  </si>
  <si>
    <t>4. Cuarta Practica</t>
  </si>
  <si>
    <t>5. Quinta Practica</t>
  </si>
  <si>
    <t>6. Sexta Practica</t>
  </si>
  <si>
    <t>7. Septima Practica</t>
  </si>
  <si>
    <t>La sumatoria de los puntos de los practicas debe no debe super el  10% de la nota</t>
  </si>
  <si>
    <t>Tarea de fortalecimiento académico</t>
  </si>
  <si>
    <t>Obligatoria se debe dejar en la sesion de diagnistico</t>
  </si>
  <si>
    <t>Editor de Textos</t>
  </si>
  <si>
    <t>Que conocimientos base y competencias esenciales se deben reforzar que permitan al estudiante afrontar con mayor solidez los contenidos del curso</t>
  </si>
  <si>
    <t>Aprender las carecteristicas  principales de las herramientas que son utilizadas para analisis de datos</t>
  </si>
  <si>
    <t>1. Primera Tarea</t>
  </si>
  <si>
    <t>Investigación</t>
  </si>
  <si>
    <t>Realizar un cuadro comparativo de los diferentes tipos de bases de datos mostrando sus caracteristicas, ventajas y desventajas.</t>
  </si>
  <si>
    <t>2. Segunda Tarea</t>
  </si>
  <si>
    <t>Gestor de base de datos</t>
  </si>
  <si>
    <t>Mysql, herramientas para grabar pantalla de computadora</t>
  </si>
  <si>
    <t xml:space="preserve">Realizar un video corto donde describa la instalación de el gestor de base de datos Mysql. </t>
  </si>
  <si>
    <t>3. Tercera Tarea</t>
  </si>
  <si>
    <t>Diagrama de Project Manager</t>
  </si>
  <si>
    <t>Project Manager o Project Libre</t>
  </si>
  <si>
    <t>Realizar un proyecto en Project manager en donde se describa las distintas tareas para realizar  el proyecto de la fase 1</t>
  </si>
  <si>
    <t>4. Cuarta Tarea</t>
  </si>
  <si>
    <t>5. Quinta Tarea</t>
  </si>
  <si>
    <t>6. Sexta Tarea</t>
  </si>
  <si>
    <t>7. Septima Tarea</t>
  </si>
  <si>
    <t>Codigo-Nombre</t>
  </si>
  <si>
    <t>Competencias</t>
  </si>
  <si>
    <t>17 - Área Social Humanística 1</t>
  </si>
  <si>
    <t>Aplica los conocimientos de su disciplina en la elaboración, fundamentación
 y defensa de argumentos para prevenir y resolver problemas complejos en
 su campo profesional, identificando y aplicando innovaciones.</t>
  </si>
  <si>
    <t>101 - Área Matemática Básica 1</t>
  </si>
  <si>
    <t>Aplica estándares de calidad, eficiencia y seguridad en la implementación
 adecuada de soluciones de software, hardware y TIC en general.</t>
  </si>
  <si>
    <t>5 - Técnicas de Estudio e Investigación</t>
  </si>
  <si>
    <t>Demuestra pensamiento crítico, actitud investigativa y rigor analítico en el
 planteamiento y la resolución de problemas complejos.</t>
  </si>
  <si>
    <t>39 - Deportes 1</t>
  </si>
  <si>
    <t>6 - Idioma Tecnico 1</t>
  </si>
  <si>
    <t>Domina diversos recursos de comunicación con el objetivo de presentar
 adecuadamente sus propuestas a variados tipos de audiencias, en idioma
 español, inglés e idealmente en un tercer idioma acorde a las necesidades
 globales.</t>
  </si>
  <si>
    <t>19 - Área Social Humanística 2</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</si>
  <si>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</si>
  <si>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</si>
  <si>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103 - Área Matemática Básica 2</t>
  </si>
  <si>
    <t>Comunica a diversos públicos, información de su campo profesional, en
 varios lenguajes y formatos de manera asertiva, clara, rigurosa y precisa, con
 el uso apropiado de recursos tecnológicos.</t>
  </si>
  <si>
    <t>Actualiza permanente sus conocimientos relacionados con TIC en general,
 apoyándose en las estrategias de aprendizaje apropiadas.</t>
  </si>
  <si>
    <t>960 - Matemática Para Computación 1</t>
  </si>
  <si>
    <t>Se comunica correctamente en su lengua oficial y utiliza una lengua
 extranjera con el dominio requerido para el ejercicio de su profesión.</t>
  </si>
  <si>
    <t>147 - Física Básica</t>
  </si>
  <si>
    <t>Lidera y colabora proactivamente en equipos de trabajo y en comunidades
 profesionales para el logro de objetivos y mejoramiento de la calidad de vida.</t>
  </si>
  <si>
    <t>40 - Deportes 2</t>
  </si>
  <si>
    <t>8 - Idioma Técnico 2</t>
  </si>
  <si>
    <t>795 - Logica de Sitemas</t>
  </si>
  <si>
    <t>962 - Matemática Para Computación 2</t>
  </si>
  <si>
    <t>770 - Introducción a ala programación y computación 1</t>
  </si>
  <si>
    <t>107 - Área Matemática Intermedia 1</t>
  </si>
  <si>
    <t>150 - Fisica 1</t>
  </si>
  <si>
    <t>1 - Ética Profesional</t>
  </si>
  <si>
    <t>9 - Idioma Técnico 3</t>
  </si>
  <si>
    <t>796 - Lenguajes Formales y de Programación</t>
  </si>
  <si>
    <t>771 - Introducción a la Programación y Computación 2</t>
  </si>
  <si>
    <t>112 - Área Matemática Intermedia 2</t>
  </si>
  <si>
    <t>114 - Área Matemática Intermedia 3</t>
  </si>
  <si>
    <t>152 - Física 2</t>
  </si>
  <si>
    <t>10 - Lógica</t>
  </si>
  <si>
    <t>11 - Idioma Técnico 4</t>
  </si>
  <si>
    <t>2025 - Prácticas Iniciales</t>
  </si>
  <si>
    <t>732 - Estadística 1</t>
  </si>
  <si>
    <t>777 - Organización de Lenguajes y Compiladores 1</t>
  </si>
  <si>
    <t>964 - Organización Computacional</t>
  </si>
  <si>
    <t>772 - Estructuras de Datos</t>
  </si>
  <si>
    <t>116 - Matemática Aplicada 3</t>
  </si>
  <si>
    <t>118 - Matemática Aplicada 1</t>
  </si>
  <si>
    <t>18 - Filosofía de la Ciencia</t>
  </si>
  <si>
    <t>722 - Teoría de Sistemas 1</t>
  </si>
  <si>
    <t>601 - Investigación de Operaciones 1</t>
  </si>
  <si>
    <t>14 - Economía</t>
  </si>
  <si>
    <t>781 - Organización de Lenguajes y Compiladores 2</t>
  </si>
  <si>
    <t>778 - Arquitectura de Computadoras y Ensambladores 1</t>
  </si>
  <si>
    <t>773 - Manejo e Implementación de Archivos</t>
  </si>
  <si>
    <t>122 - Matemática Aplicada 4</t>
  </si>
  <si>
    <t>120 - Matemática Aplicada 2</t>
  </si>
  <si>
    <t>200 - Ingeniería Eléctrica 1</t>
  </si>
  <si>
    <t>724 - Teoría de Sistemas 2</t>
  </si>
  <si>
    <t>603 - Investigación de Operaciones 2</t>
  </si>
  <si>
    <t>734 - Estadística 2</t>
  </si>
  <si>
    <t>281 - Sistemas Operativos 1</t>
  </si>
  <si>
    <t>779 - Arquitectura de Computadoras y Ensambladores 2</t>
  </si>
  <si>
    <t>970 - Redes de Computadoras 1</t>
  </si>
  <si>
    <t>774 - Sistemas de Bases de Datos 1</t>
  </si>
  <si>
    <t>2036 - Prácticas Intermedias</t>
  </si>
  <si>
    <t>285 - Sistemas Operativos 2</t>
  </si>
  <si>
    <t>975 - Redes de Computadoras 2</t>
  </si>
  <si>
    <t>775 - Sistemas de Bases de Datos 2</t>
  </si>
  <si>
    <t>283 - Análisis y Diseño de Sistemas 1</t>
  </si>
  <si>
    <t>797 - Seminario de Sistemas 1</t>
  </si>
  <si>
    <t>700 - Ingeniería Económica 1</t>
  </si>
  <si>
    <t>729 - Modelación y Simulación 1</t>
  </si>
  <si>
    <t>786 - Sistemas Organizacionales y Gerenciales 1</t>
  </si>
  <si>
    <t>972 - Inteligencia Artificial 1</t>
  </si>
  <si>
    <t>966 - Seguridad y Auditoría de Redes de Computadoras</t>
  </si>
  <si>
    <t>785 - Análisis y Diseño de Sistemas 2</t>
  </si>
  <si>
    <t>798 - Seminario de Sistemas 2</t>
  </si>
  <si>
    <t>788 - Sistemas Aplicados 1</t>
  </si>
  <si>
    <t>776 - Bases de Datos Avanzadas</t>
  </si>
  <si>
    <t>2009 - Prácticas Finales Ingeniería Ciencias y Sistemas</t>
  </si>
  <si>
    <t>720 - Modelación y Simulación 2</t>
  </si>
  <si>
    <t>787 - Sistemas Organizacionales y Gerenciales 2</t>
  </si>
  <si>
    <t>790 - Emprendedores de Negocios Informáticos</t>
  </si>
  <si>
    <t>968 - Inteligencia Artificial 2</t>
  </si>
  <si>
    <t>974 - Redes de Nueva Generación</t>
  </si>
  <si>
    <t>780 - Software Avanzado</t>
  </si>
  <si>
    <t>789 - Sistemas Aplicados 2</t>
  </si>
  <si>
    <t>735 - Auditoría de Proyectos de Software</t>
  </si>
  <si>
    <t>7999 - Seminario de Investigación EPS Sistemas</t>
  </si>
  <si>
    <t>799 - Seminario de Investigación</t>
  </si>
  <si>
    <t>90 - Programacion de Computadoras 1</t>
  </si>
  <si>
    <t>92 - Programacion de Computadoras 2</t>
  </si>
  <si>
    <t>768 - Algoritmos</t>
  </si>
  <si>
    <t>0089 - Comunicación Asertiva</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</si>
</sst>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color theme="1"/>
      <name val="Arial"/>
    </font>
    <font>
      <b/>
      <sz val="12.0"/>
      <color rgb="FFFF6D01"/>
      <name val="Arial"/>
    </font>
    <font>
      <b/>
      <color theme="1"/>
      <name val="Arial"/>
    </font>
    <font>
      <sz val="12.0"/>
      <color rgb="FFB7B7B7"/>
      <name val="Arial"/>
    </font>
    <font>
      <b/>
      <sz val="12.0"/>
      <color theme="1"/>
      <name val="Arial"/>
    </font>
    <font/>
    <font>
      <sz val="12.0"/>
      <color theme="1"/>
      <name val="Arial"/>
    </font>
    <font>
      <color theme="1"/>
      <name val="Arial"/>
      <scheme val="minor"/>
    </font>
    <font>
      <b/>
      <sz val="12.0"/>
      <color rgb="FFFBBC04"/>
      <name val="Arial"/>
    </font>
    <font>
      <sz val="12.0"/>
      <color rgb="FF404040"/>
      <name val="Inter"/>
    </font>
    <font>
      <b/>
      <sz val="11.0"/>
      <color theme="1"/>
      <name val="Arial"/>
    </font>
    <font>
      <sz val="11.0"/>
      <color theme="1"/>
      <name val="Arial"/>
    </font>
    <font>
      <color rgb="FFB7B7B7"/>
      <name val="Arial"/>
    </font>
    <font>
      <color rgb="FFFFFFFF"/>
      <name val="Arial"/>
    </font>
    <font>
      <b/>
      <sz val="12.0"/>
      <color theme="8"/>
      <name val="Arial"/>
    </font>
    <font>
      <sz val="11.0"/>
      <color theme="1"/>
      <name val="Aptos Narrow"/>
    </font>
    <font>
      <b/>
      <sz val="13.0"/>
      <color theme="4"/>
      <name val="Arial"/>
    </font>
    <font>
      <b/>
      <sz val="12.0"/>
      <color theme="4"/>
      <name val="Arial"/>
    </font>
    <font>
      <color rgb="FF999999"/>
      <name val="Arial"/>
    </font>
    <font>
      <b/>
      <sz val="13.0"/>
      <color rgb="FF4285F4"/>
      <name val="Arial"/>
    </font>
    <font>
      <b/>
      <sz val="12.0"/>
      <color rgb="FF4285F4"/>
      <name val="Arial"/>
    </font>
    <font>
      <u/>
      <color rgb="FF0000FF"/>
      <name val="Arial"/>
    </font>
    <font>
      <b/>
      <sz val="12.0"/>
      <color rgb="FFFFFFFF"/>
      <name val="Arial"/>
    </font>
    <font>
      <color rgb="FFCCCCCC"/>
      <name val="Arial"/>
    </font>
    <font>
      <color rgb="FF000000"/>
      <name val="Arial"/>
    </font>
    <font>
      <color rgb="FFD9D9D9"/>
      <name val="Arial"/>
    </font>
  </fonts>
  <fills count="19">
    <fill>
      <patternFill patternType="none"/>
    </fill>
    <fill>
      <patternFill patternType="lightGray"/>
    </fill>
    <fill>
      <patternFill patternType="solid">
        <fgColor rgb="FFEFEFEF"/>
        <bgColor rgb="FFEFEFEF"/>
      </patternFill>
    </fill>
    <fill>
      <patternFill patternType="solid">
        <fgColor rgb="FFF3F3F3"/>
        <bgColor rgb="FFF3F3F3"/>
      </patternFill>
    </fill>
    <fill>
      <patternFill patternType="solid">
        <fgColor rgb="FFD9D9D9"/>
        <bgColor rgb="FFD9D9D9"/>
      </patternFill>
    </fill>
    <fill>
      <patternFill patternType="solid">
        <fgColor rgb="FFEAD1DC"/>
        <bgColor rgb="FFEAD1DC"/>
      </patternFill>
    </fill>
    <fill>
      <patternFill patternType="solid">
        <fgColor rgb="FFFFF2CC"/>
        <bgColor rgb="FFFFF2CC"/>
      </patternFill>
    </fill>
    <fill>
      <patternFill patternType="solid">
        <fgColor rgb="FFFFFFFF"/>
        <bgColor rgb="FFFFFFFF"/>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D9EAD3"/>
        <bgColor rgb="FFD9EAD3"/>
      </patternFill>
    </fill>
    <fill>
      <patternFill patternType="solid">
        <fgColor rgb="FF4285F4"/>
        <bgColor rgb="FF4285F4"/>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25">
    <border/>
    <border>
      <left style="double">
        <color rgb="FF434343"/>
      </left>
      <right style="double">
        <color rgb="FF434343"/>
      </right>
      <top style="double">
        <color rgb="FF434343"/>
      </top>
      <bottom style="double">
        <color rgb="FF434343"/>
      </bottom>
    </border>
    <border>
      <left style="double">
        <color rgb="FF434343"/>
      </left>
      <top style="double">
        <color rgb="FF434343"/>
      </top>
      <bottom style="double">
        <color rgb="FF434343"/>
      </bottom>
    </border>
    <border>
      <top style="double">
        <color rgb="FF434343"/>
      </top>
      <bottom style="double">
        <color rgb="FF434343"/>
      </bottom>
    </border>
    <border>
      <right style="double">
        <color rgb="FF434343"/>
      </right>
      <top style="double">
        <color rgb="FF434343"/>
      </top>
      <bottom style="double">
        <color rgb="FF434343"/>
      </bottom>
    </border>
    <border>
      <left style="double">
        <color rgb="FF434343"/>
      </left>
      <right style="double">
        <color rgb="FF434343"/>
      </right>
      <top style="double">
        <color rgb="FF434343"/>
      </top>
    </border>
    <border>
      <left style="double">
        <color rgb="FF434343"/>
      </left>
      <top style="double">
        <color rgb="FF434343"/>
      </top>
    </border>
    <border>
      <top style="double">
        <color rgb="FF434343"/>
      </top>
    </border>
    <border>
      <right style="double">
        <color rgb="FF434343"/>
      </right>
      <top style="double">
        <color rgb="FF434343"/>
      </top>
    </border>
    <border>
      <left style="thin">
        <color rgb="FF000000"/>
      </left>
      <right style="thin">
        <color rgb="FF000000"/>
      </right>
      <top style="thin">
        <color rgb="FF000000"/>
      </top>
      <bottom style="thin">
        <color rgb="FF000000"/>
      </bottom>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40">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0" fontId="3" numFmtId="0" xfId="0" applyFont="1"/>
    <xf borderId="0" fillId="0" fontId="3" numFmtId="0" xfId="0" applyAlignment="1" applyFont="1">
      <alignment readingOrder="0"/>
    </xf>
    <xf borderId="0" fillId="0" fontId="3" numFmtId="0" xfId="0" applyAlignment="1" applyFont="1">
      <alignment shrinkToFit="0" wrapText="1"/>
    </xf>
    <xf borderId="0" fillId="0" fontId="1" numFmtId="0" xfId="0" applyFont="1"/>
    <xf borderId="0" fillId="0" fontId="4" numFmtId="0" xfId="0" applyAlignment="1" applyFont="1">
      <alignment shrinkToFit="0" wrapText="1"/>
    </xf>
    <xf borderId="1" fillId="2" fontId="5" numFmtId="0" xfId="0" applyAlignment="1" applyBorder="1" applyFill="1" applyFont="1">
      <alignment shrinkToFit="0" vertical="bottom" wrapText="1"/>
    </xf>
    <xf borderId="2" fillId="2" fontId="5" numFmtId="0" xfId="0" applyAlignment="1" applyBorder="1" applyFont="1">
      <alignment shrinkToFit="0" vertical="bottom" wrapText="1"/>
    </xf>
    <xf borderId="3" fillId="0" fontId="6" numFmtId="0" xfId="0" applyBorder="1" applyFont="1"/>
    <xf borderId="4" fillId="0" fontId="6" numFmtId="0" xfId="0" applyBorder="1" applyFont="1"/>
    <xf borderId="0" fillId="3" fontId="1" numFmtId="0" xfId="0" applyAlignment="1" applyFill="1" applyFont="1">
      <alignment shrinkToFit="0" vertical="bottom" wrapText="1"/>
    </xf>
    <xf borderId="1" fillId="0" fontId="7" numFmtId="0" xfId="0" applyAlignment="1" applyBorder="1" applyFont="1">
      <alignment shrinkToFit="0" vertical="bottom" wrapText="1"/>
    </xf>
    <xf borderId="1" fillId="0" fontId="1" numFmtId="0" xfId="0" applyAlignment="1" applyBorder="1" applyFont="1">
      <alignment horizontal="right" vertical="bottom"/>
    </xf>
    <xf borderId="1" fillId="0" fontId="1" numFmtId="0" xfId="0" applyAlignment="1" applyBorder="1" applyFont="1">
      <alignment vertical="bottom"/>
    </xf>
    <xf borderId="2" fillId="0" fontId="1" numFmtId="0" xfId="0" applyAlignment="1" applyBorder="1" applyFont="1">
      <alignment vertical="bottom"/>
    </xf>
    <xf borderId="0" fillId="3" fontId="1" numFmtId="0" xfId="0" applyAlignment="1" applyFont="1">
      <alignment horizontal="right" vertical="bottom"/>
    </xf>
    <xf borderId="1" fillId="0" fontId="7" numFmtId="0" xfId="0" applyAlignment="1" applyBorder="1" applyFont="1">
      <alignment vertical="bottom"/>
    </xf>
    <xf borderId="5" fillId="0" fontId="7" numFmtId="0" xfId="0" applyAlignment="1" applyBorder="1" applyFont="1">
      <alignment vertical="bottom"/>
    </xf>
    <xf borderId="5" fillId="0" fontId="1" numFmtId="0" xfId="0" applyAlignment="1" applyBorder="1" applyFont="1">
      <alignment horizontal="right" vertical="bottom"/>
    </xf>
    <xf borderId="6" fillId="0" fontId="1" numFmtId="0" xfId="0" applyAlignment="1" applyBorder="1" applyFont="1">
      <alignment vertical="bottom"/>
    </xf>
    <xf borderId="7" fillId="0" fontId="6" numFmtId="0" xfId="0" applyBorder="1" applyFont="1"/>
    <xf borderId="8" fillId="0" fontId="6" numFmtId="0" xfId="0" applyBorder="1" applyFont="1"/>
    <xf borderId="9" fillId="4" fontId="5" numFmtId="0" xfId="0" applyAlignment="1" applyBorder="1" applyFill="1" applyFont="1">
      <alignment shrinkToFit="0" vertical="bottom" wrapText="1"/>
    </xf>
    <xf borderId="9" fillId="4" fontId="1" numFmtId="0" xfId="0" applyAlignment="1" applyBorder="1" applyFont="1">
      <alignment horizontal="right" vertical="bottom"/>
    </xf>
    <xf borderId="10" fillId="5" fontId="5" numFmtId="0" xfId="0" applyAlignment="1" applyBorder="1" applyFill="1" applyFont="1">
      <alignment shrinkToFit="0" vertical="bottom" wrapText="1"/>
    </xf>
    <xf borderId="11" fillId="5" fontId="1" numFmtId="0" xfId="0" applyAlignment="1" applyBorder="1" applyFont="1">
      <alignment shrinkToFit="0" vertical="bottom" wrapText="1"/>
    </xf>
    <xf borderId="12" fillId="0" fontId="6" numFmtId="0" xfId="0" applyBorder="1" applyFont="1"/>
    <xf borderId="13" fillId="0" fontId="6" numFmtId="0" xfId="0" applyBorder="1" applyFont="1"/>
    <xf borderId="0" fillId="0" fontId="8" numFmtId="0" xfId="0" applyAlignment="1" applyFont="1">
      <alignment readingOrder="0"/>
    </xf>
    <xf borderId="0" fillId="0" fontId="8" numFmtId="0" xfId="0" applyFont="1"/>
    <xf borderId="0" fillId="0" fontId="1" numFmtId="0" xfId="0" applyAlignment="1" applyFont="1">
      <alignment vertical="bottom"/>
    </xf>
    <xf borderId="0" fillId="0" fontId="9" numFmtId="0" xfId="0" applyAlignment="1" applyFont="1">
      <alignment horizontal="center" vertical="bottom"/>
    </xf>
    <xf borderId="14" fillId="6" fontId="10" numFmtId="0" xfId="0" applyAlignment="1" applyBorder="1" applyFill="1" applyFont="1">
      <alignment horizontal="center" shrinkToFit="0" vertical="bottom" wrapText="1"/>
    </xf>
    <xf borderId="15" fillId="0" fontId="6" numFmtId="0" xfId="0" applyBorder="1" applyFont="1"/>
    <xf borderId="16" fillId="0" fontId="6" numFmtId="0" xfId="0" applyBorder="1" applyFont="1"/>
    <xf borderId="9" fillId="7" fontId="10" numFmtId="0" xfId="0" applyAlignment="1" applyBorder="1" applyFill="1" applyFont="1">
      <alignment horizontal="center" shrinkToFit="0" vertical="bottom" wrapText="1"/>
    </xf>
    <xf borderId="14" fillId="0" fontId="1" numFmtId="0" xfId="0" applyAlignment="1" applyBorder="1" applyFont="1">
      <alignment readingOrder="0" vertical="bottom"/>
    </xf>
    <xf borderId="0" fillId="7" fontId="1" numFmtId="0" xfId="0" applyAlignment="1" applyFont="1">
      <alignment vertical="bottom"/>
    </xf>
    <xf borderId="9" fillId="7" fontId="10" numFmtId="0" xfId="0" applyAlignment="1" applyBorder="1" applyFont="1">
      <alignment horizontal="center" vertical="bottom"/>
    </xf>
    <xf borderId="9" fillId="0" fontId="7" numFmtId="0" xfId="0" applyAlignment="1" applyBorder="1" applyFont="1">
      <alignment horizontal="center" vertical="bottom"/>
    </xf>
    <xf borderId="9" fillId="8" fontId="11" numFmtId="0" xfId="0" applyAlignment="1" applyBorder="1" applyFill="1" applyFont="1">
      <alignment horizontal="center" vertical="bottom"/>
    </xf>
    <xf borderId="14" fillId="8" fontId="11" numFmtId="0" xfId="0" applyAlignment="1" applyBorder="1" applyFont="1">
      <alignment horizontal="center" vertical="bottom"/>
    </xf>
    <xf borderId="9" fillId="8" fontId="11" numFmtId="0" xfId="0" applyAlignment="1" applyBorder="1" applyFont="1">
      <alignment horizontal="center" shrinkToFit="0" vertical="bottom" wrapText="1"/>
    </xf>
    <xf borderId="14" fillId="8" fontId="11" numFmtId="0" xfId="0" applyAlignment="1" applyBorder="1" applyFont="1">
      <alignment horizontal="center" shrinkToFit="0" vertical="bottom" wrapText="1"/>
    </xf>
    <xf borderId="9" fillId="0" fontId="1" numFmtId="0" xfId="0" applyAlignment="1" applyBorder="1" applyFont="1">
      <alignment horizontal="right" vertical="bottom"/>
    </xf>
    <xf borderId="9" fillId="0" fontId="11" numFmtId="0" xfId="0" applyAlignment="1" applyBorder="1" applyFont="1">
      <alignment vertical="bottom"/>
    </xf>
    <xf borderId="9" fillId="9" fontId="1" numFmtId="0" xfId="0" applyAlignment="1" applyBorder="1" applyFill="1" applyFont="1">
      <alignment vertical="bottom"/>
    </xf>
    <xf borderId="14" fillId="10" fontId="1" numFmtId="0" xfId="0" applyAlignment="1" applyBorder="1" applyFill="1" applyFont="1">
      <alignment vertical="bottom"/>
    </xf>
    <xf borderId="9" fillId="11" fontId="1" numFmtId="0" xfId="0" applyAlignment="1" applyBorder="1" applyFill="1" applyFont="1">
      <alignment vertical="bottom"/>
    </xf>
    <xf borderId="14" fillId="12" fontId="1" numFmtId="0" xfId="0" applyAlignment="1" applyBorder="1" applyFill="1" applyFont="1">
      <alignment vertical="bottom"/>
    </xf>
    <xf borderId="9" fillId="13" fontId="1" numFmtId="0" xfId="0" applyAlignment="1" applyBorder="1" applyFill="1" applyFont="1">
      <alignment vertical="bottom"/>
    </xf>
    <xf borderId="9" fillId="7" fontId="1" numFmtId="0" xfId="0" applyAlignment="1" applyBorder="1" applyFont="1">
      <alignment vertical="bottom"/>
    </xf>
    <xf borderId="14" fillId="14" fontId="12" numFmtId="0" xfId="0" applyAlignment="1" applyBorder="1" applyFill="1" applyFont="1">
      <alignment horizontal="center" shrinkToFit="0" vertical="bottom" wrapText="1"/>
    </xf>
    <xf borderId="14" fillId="10" fontId="1" numFmtId="0" xfId="0" applyAlignment="1" applyBorder="1" applyFont="1">
      <alignment vertical="bottom"/>
    </xf>
    <xf borderId="9" fillId="11" fontId="1" numFmtId="0" xfId="0" applyAlignment="1" applyBorder="1" applyFont="1">
      <alignment vertical="bottom"/>
    </xf>
    <xf borderId="14" fillId="12" fontId="1" numFmtId="0" xfId="0" applyAlignment="1" applyBorder="1" applyFont="1">
      <alignment vertical="bottom"/>
    </xf>
    <xf borderId="0" fillId="0" fontId="13" numFmtId="0" xfId="0" applyFont="1"/>
    <xf borderId="14" fillId="3" fontId="1" numFmtId="0" xfId="0" applyAlignment="1" applyBorder="1" applyFont="1">
      <alignment vertical="bottom"/>
    </xf>
    <xf borderId="17" fillId="0" fontId="1" numFmtId="0" xfId="0" applyAlignment="1" applyBorder="1" applyFont="1">
      <alignment readingOrder="0" shrinkToFit="0" vertical="bottom" wrapText="1"/>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22" fillId="0" fontId="6" numFmtId="0" xfId="0" applyBorder="1" applyFont="1"/>
    <xf borderId="0" fillId="0" fontId="14" numFmtId="0" xfId="0" applyFont="1"/>
    <xf borderId="0" fillId="0" fontId="15" numFmtId="0" xfId="0" applyFont="1"/>
    <xf borderId="0" fillId="0" fontId="11" numFmtId="0" xfId="0" applyAlignment="1" applyFont="1">
      <alignment vertical="bottom"/>
    </xf>
    <xf borderId="9" fillId="0" fontId="11" numFmtId="0" xfId="0" applyAlignment="1" applyBorder="1" applyFont="1">
      <alignment shrinkToFit="0" vertical="bottom" wrapText="1"/>
    </xf>
    <xf borderId="9" fillId="0" fontId="1" numFmtId="0" xfId="0" applyBorder="1" applyFont="1"/>
    <xf borderId="9" fillId="0" fontId="1" numFmtId="0" xfId="0" applyAlignment="1" applyBorder="1" applyFont="1">
      <alignment readingOrder="0" shrinkToFit="0" wrapText="0"/>
    </xf>
    <xf borderId="9" fillId="0" fontId="1" numFmtId="0" xfId="0" applyAlignment="1" applyBorder="1" applyFont="1">
      <alignment vertical="bottom"/>
    </xf>
    <xf borderId="9" fillId="0" fontId="1" numFmtId="0" xfId="0" applyAlignment="1" applyBorder="1" applyFont="1">
      <alignment readingOrder="0"/>
    </xf>
    <xf borderId="9" fillId="0" fontId="1" numFmtId="0" xfId="0" applyAlignment="1" applyBorder="1" applyFont="1">
      <alignment vertical="bottom"/>
    </xf>
    <xf borderId="9" fillId="0" fontId="8" numFmtId="0" xfId="0" applyBorder="1" applyFont="1"/>
    <xf borderId="9" fillId="0" fontId="1" numFmtId="0" xfId="0" applyAlignment="1" applyBorder="1" applyFont="1">
      <alignment vertical="bottom"/>
    </xf>
    <xf borderId="9" fillId="0" fontId="16" numFmtId="0" xfId="0" applyAlignment="1" applyBorder="1" applyFont="1">
      <alignment vertical="bottom"/>
    </xf>
    <xf borderId="9" fillId="0" fontId="12" numFmtId="0" xfId="0" applyAlignment="1" applyBorder="1" applyFont="1">
      <alignment readingOrder="0" shrinkToFit="0" vertical="bottom" wrapText="1"/>
    </xf>
    <xf borderId="9" fillId="0" fontId="1" numFmtId="0" xfId="0" applyAlignment="1" applyBorder="1" applyFont="1">
      <alignment readingOrder="0" shrinkToFit="0" vertical="bottom" wrapText="1"/>
    </xf>
    <xf borderId="9" fillId="0" fontId="12" numFmtId="0" xfId="0" applyAlignment="1" applyBorder="1" applyFont="1">
      <alignment readingOrder="0" vertical="bottom"/>
    </xf>
    <xf borderId="9" fillId="0" fontId="1" numFmtId="0" xfId="0" applyAlignment="1" applyBorder="1" applyFont="1">
      <alignment readingOrder="0" shrinkToFit="0" wrapText="1"/>
    </xf>
    <xf borderId="9" fillId="0" fontId="8" numFmtId="0" xfId="0" applyAlignment="1" applyBorder="1" applyFont="1">
      <alignment readingOrder="0"/>
    </xf>
    <xf borderId="9" fillId="0" fontId="3" numFmtId="0" xfId="0" applyBorder="1" applyFont="1"/>
    <xf borderId="14" fillId="0" fontId="1" numFmtId="0" xfId="0" applyBorder="1" applyFont="1"/>
    <xf borderId="0" fillId="0" fontId="1" numFmtId="0" xfId="0" applyAlignment="1" applyFont="1">
      <alignment horizontal="center" shrinkToFit="0" vertical="center" wrapText="1"/>
    </xf>
    <xf borderId="0" fillId="0" fontId="17" numFmtId="0" xfId="0" applyFont="1"/>
    <xf borderId="0" fillId="0" fontId="18" numFmtId="0" xfId="0" applyAlignment="1" applyFont="1">
      <alignment shrinkToFit="0" wrapText="1"/>
    </xf>
    <xf borderId="0" fillId="15" fontId="14" numFmtId="0" xfId="0" applyFill="1" applyFont="1"/>
    <xf borderId="0" fillId="0" fontId="19" numFmtId="0" xfId="0" applyFont="1"/>
    <xf borderId="9" fillId="4" fontId="1" numFmtId="0" xfId="0" applyAlignment="1" applyBorder="1" applyFont="1">
      <alignment shrinkToFit="0" vertical="bottom" wrapText="1"/>
    </xf>
    <xf borderId="14" fillId="0" fontId="1" numFmtId="0" xfId="0" applyAlignment="1" applyBorder="1" applyFont="1">
      <alignment vertical="bottom"/>
    </xf>
    <xf borderId="9" fillId="4" fontId="1" numFmtId="0" xfId="0" applyAlignment="1" applyBorder="1" applyFont="1">
      <alignment shrinkToFit="0" wrapText="1"/>
    </xf>
    <xf borderId="9" fillId="4" fontId="1" numFmtId="0" xfId="0" applyBorder="1" applyFont="1"/>
    <xf borderId="14" fillId="0" fontId="1" numFmtId="0" xfId="0" applyAlignment="1" applyBorder="1" applyFont="1">
      <alignment readingOrder="0"/>
    </xf>
    <xf borderId="0" fillId="0" fontId="20" numFmtId="0" xfId="0" applyFont="1"/>
    <xf borderId="14" fillId="0" fontId="1" numFmtId="0" xfId="0" applyAlignment="1" applyBorder="1" applyFont="1">
      <alignment shrinkToFit="0" vertical="bottom" wrapText="1"/>
    </xf>
    <xf borderId="14" fillId="0" fontId="1" numFmtId="0" xfId="0" applyAlignment="1" applyBorder="1" applyFont="1">
      <alignment horizontal="right" vertical="bottom"/>
    </xf>
    <xf borderId="0" fillId="0" fontId="21" numFmtId="0" xfId="0" applyAlignment="1" applyFont="1">
      <alignment shrinkToFit="0" wrapText="1"/>
    </xf>
    <xf borderId="14" fillId="0" fontId="22" numFmtId="0" xfId="0" applyAlignment="1" applyBorder="1" applyFont="1">
      <alignment readingOrder="0" vertical="bottom"/>
    </xf>
    <xf borderId="14" fillId="14" fontId="1" numFmtId="0" xfId="0" applyAlignment="1" applyBorder="1" applyFont="1">
      <alignment horizontal="center"/>
    </xf>
    <xf borderId="9" fillId="0" fontId="1" numFmtId="0" xfId="0" applyAlignment="1" applyBorder="1" applyFont="1">
      <alignment shrinkToFit="0" wrapText="1"/>
    </xf>
    <xf borderId="14" fillId="0" fontId="1" numFmtId="0" xfId="0" applyAlignment="1" applyBorder="1" applyFont="1">
      <alignment horizontal="center"/>
    </xf>
    <xf borderId="0" fillId="0" fontId="21" numFmtId="0" xfId="0" applyFont="1"/>
    <xf borderId="0" fillId="16" fontId="23" numFmtId="0" xfId="0" applyFill="1" applyFont="1"/>
    <xf borderId="9" fillId="4" fontId="1" numFmtId="0" xfId="0" applyAlignment="1" applyBorder="1" applyFont="1">
      <alignment vertical="bottom"/>
    </xf>
    <xf borderId="14" fillId="0" fontId="1" numFmtId="0" xfId="0" applyAlignment="1" applyBorder="1" applyFont="1">
      <alignment horizontal="right" readingOrder="0" vertical="bottom"/>
    </xf>
    <xf borderId="14" fillId="4" fontId="1" numFmtId="0" xfId="0" applyAlignment="1" applyBorder="1" applyFont="1">
      <alignment vertical="bottom"/>
    </xf>
    <xf borderId="17" fillId="0" fontId="1" numFmtId="0" xfId="0" applyAlignment="1" applyBorder="1" applyFont="1">
      <alignment vertical="bottom"/>
    </xf>
    <xf borderId="0" fillId="16" fontId="23" numFmtId="0" xfId="0" applyAlignment="1" applyFont="1">
      <alignment readingOrder="0"/>
    </xf>
    <xf borderId="0" fillId="0" fontId="18" numFmtId="0" xfId="0" applyFont="1"/>
    <xf borderId="9" fillId="17" fontId="1" numFmtId="0" xfId="0" applyAlignment="1" applyBorder="1" applyFill="1" applyFont="1">
      <alignment vertical="bottom"/>
    </xf>
    <xf borderId="14" fillId="17" fontId="1" numFmtId="0" xfId="0" applyAlignment="1" applyBorder="1" applyFont="1">
      <alignment vertical="bottom"/>
    </xf>
    <xf borderId="9" fillId="18" fontId="1" numFmtId="0" xfId="0" applyAlignment="1" applyBorder="1" applyFill="1" applyFont="1">
      <alignment vertical="bottom"/>
    </xf>
    <xf borderId="14" fillId="18" fontId="1" numFmtId="0" xfId="0" applyAlignment="1" applyBorder="1" applyFont="1">
      <alignment vertical="bottom"/>
    </xf>
    <xf borderId="9" fillId="5" fontId="1" numFmtId="0" xfId="0" applyBorder="1" applyFont="1"/>
    <xf borderId="14" fillId="0" fontId="24" numFmtId="0" xfId="0" applyAlignment="1" applyBorder="1" applyFont="1">
      <alignment readingOrder="0"/>
    </xf>
    <xf borderId="0" fillId="0" fontId="24" numFmtId="0" xfId="0" applyFont="1"/>
    <xf borderId="14" fillId="4" fontId="1" numFmtId="0" xfId="0" applyBorder="1" applyFont="1"/>
    <xf borderId="17" fillId="0" fontId="1" numFmtId="0" xfId="0" applyAlignment="1" applyBorder="1" applyFont="1">
      <alignment readingOrder="0"/>
    </xf>
    <xf borderId="23" fillId="0" fontId="6" numFmtId="0" xfId="0" applyBorder="1" applyFont="1"/>
    <xf borderId="24" fillId="0" fontId="6" numFmtId="0" xfId="0" applyBorder="1" applyFont="1"/>
    <xf borderId="14" fillId="0" fontId="25" numFmtId="0" xfId="0" applyAlignment="1" applyBorder="1" applyFont="1">
      <alignment readingOrder="0"/>
    </xf>
    <xf borderId="0" fillId="0" fontId="26" numFmtId="0" xfId="0" applyFont="1"/>
    <xf borderId="14" fillId="18" fontId="1" numFmtId="0" xfId="0" applyBorder="1" applyFont="1"/>
    <xf borderId="17" fillId="0" fontId="1" numFmtId="0" xfId="0" applyAlignment="1" applyBorder="1" applyFont="1">
      <alignment shrinkToFit="0" wrapText="1"/>
    </xf>
    <xf borderId="9" fillId="17" fontId="1" numFmtId="0" xfId="0" applyBorder="1" applyFont="1"/>
    <xf borderId="14" fillId="17" fontId="1" numFmtId="0" xfId="0" applyBorder="1" applyFont="1"/>
    <xf borderId="9" fillId="18" fontId="1" numFmtId="0" xfId="0" applyAlignment="1" applyBorder="1" applyFont="1">
      <alignment shrinkToFit="0" wrapText="1"/>
    </xf>
    <xf borderId="17" fillId="0" fontId="1" numFmtId="0" xfId="0" applyBorder="1" applyFont="1"/>
    <xf borderId="17" fillId="0" fontId="1" numFmtId="0" xfId="0" applyAlignment="1" applyBorder="1" applyFont="1">
      <alignment readingOrder="0" shrinkToFit="0" wrapText="1"/>
    </xf>
    <xf borderId="21" fillId="0" fontId="1" numFmtId="0" xfId="0" applyAlignment="1" applyBorder="1" applyFont="1">
      <alignment vertical="bottom"/>
    </xf>
    <xf borderId="15" fillId="0" fontId="24" numFmtId="0" xfId="0" applyBorder="1" applyFont="1"/>
    <xf borderId="16" fillId="0" fontId="24" numFmtId="0" xfId="0" applyBorder="1" applyFont="1"/>
    <xf borderId="14" fillId="0" fontId="1" numFmtId="0" xfId="0" applyAlignment="1" applyBorder="1" applyFont="1">
      <alignment readingOrder="0" shrinkToFit="0" wrapText="1"/>
    </xf>
    <xf borderId="14" fillId="0" fontId="24" numFmtId="0" xfId="0" applyBorder="1" applyFont="1"/>
    <xf borderId="0" fillId="0" fontId="2" numFmtId="0" xfId="0" applyAlignment="1" applyFont="1">
      <alignment horizontal="center"/>
    </xf>
    <xf borderId="17" fillId="0" fontId="1" numFmtId="0" xfId="0" applyAlignment="1" applyBorder="1" applyFont="1">
      <alignment horizontal="left" readingOrder="0"/>
    </xf>
    <xf borderId="17" fillId="7" fontId="25" numFmtId="0" xfId="0" applyAlignment="1" applyBorder="1" applyFont="1">
      <alignment readingOrder="0"/>
    </xf>
    <xf borderId="0" fillId="0" fontId="23"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962025</xdr:colOff>
      <xdr:row>30</xdr:row>
      <xdr:rowOff>190500</xdr:rowOff>
    </xdr:from>
    <xdr:ext cx="9439275" cy="63341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161925</xdr:colOff>
      <xdr:row>10</xdr:row>
      <xdr:rowOff>238125</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19</xdr:row>
      <xdr:rowOff>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26</xdr:row>
      <xdr:rowOff>285750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161925</xdr:colOff>
      <xdr:row>32</xdr:row>
      <xdr:rowOff>114300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forms/d/e/1FAIpQLSfg-J4rYH0YvdDWDED9zBTHV0i8563q1EZcWcI-AAwdLIqQEw/viewform?usp=sharing&amp;ouid=106956778603863897718" TargetMode="External"/><Relationship Id="rId3" Type="http://schemas.openxmlformats.org/officeDocument/2006/relationships/drawing" Target="../drawings/drawing4.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24.5"/>
    <col customWidth="1" min="4" max="4" width="16.88"/>
  </cols>
  <sheetData>
    <row r="1" ht="15.75" customHeight="1">
      <c r="A1" s="1"/>
    </row>
    <row r="2" ht="15.75" customHeight="1">
      <c r="A2" s="1"/>
      <c r="B2" s="2" t="s">
        <v>0</v>
      </c>
    </row>
    <row r="3" ht="15.75" customHeight="1">
      <c r="A3" s="1"/>
    </row>
    <row r="4" ht="15.75" customHeight="1">
      <c r="A4" s="1"/>
      <c r="B4" s="3" t="s">
        <v>1</v>
      </c>
      <c r="C4" s="4" t="s">
        <v>2</v>
      </c>
    </row>
    <row r="5">
      <c r="A5" s="1"/>
      <c r="B5" s="5" t="s">
        <v>3</v>
      </c>
      <c r="C5" s="6" t="s">
        <v>4</v>
      </c>
    </row>
    <row r="6">
      <c r="A6" s="1"/>
      <c r="B6" s="5" t="s">
        <v>5</v>
      </c>
    </row>
    <row r="7" ht="15.75" customHeight="1">
      <c r="A7" s="1"/>
    </row>
    <row r="8" ht="15.75" customHeight="1">
      <c r="A8" s="7" t="s">
        <v>6</v>
      </c>
    </row>
    <row r="9" ht="15.75" customHeight="1">
      <c r="A9" s="7" t="s">
        <v>7</v>
      </c>
    </row>
    <row r="10">
      <c r="A10" s="8" t="s">
        <v>8</v>
      </c>
      <c r="B10" s="8" t="s">
        <v>9</v>
      </c>
      <c r="C10" s="8" t="s">
        <v>10</v>
      </c>
      <c r="D10" s="9" t="s">
        <v>11</v>
      </c>
      <c r="E10" s="10"/>
      <c r="F10" s="11"/>
      <c r="G10" s="12" t="s">
        <v>12</v>
      </c>
    </row>
    <row r="11">
      <c r="A11" s="13" t="s">
        <v>13</v>
      </c>
      <c r="B11" s="14">
        <f>S.2!C7+S.3!C7+S.4!C7+S.5!C7+S.6!C7+S.7!C7+S.8!C7+S.9!C7+S.10!C7+S.11!C7</f>
        <v>20</v>
      </c>
      <c r="C11" s="15">
        <f>S.2!C6+S.3!C6+S.4!C6+S.5!C6+S.6!C6+S.7!C6+S.8!C6+S.9!C6+S.10!C6+S.11!C6</f>
        <v>1038</v>
      </c>
      <c r="D11" s="16"/>
      <c r="E11" s="10"/>
      <c r="F11" s="11"/>
      <c r="G11" s="17">
        <v>10.0</v>
      </c>
    </row>
    <row r="12" ht="15.75" customHeight="1">
      <c r="A12" s="18" t="s">
        <v>14</v>
      </c>
      <c r="B12" s="14">
        <f>Proyectos!C6</f>
        <v>70</v>
      </c>
      <c r="C12" s="15">
        <f>Proyectos!C5</f>
        <v>40</v>
      </c>
      <c r="D12" s="16"/>
      <c r="E12" s="10"/>
      <c r="F12" s="11"/>
      <c r="G12" s="17">
        <v>60.0</v>
      </c>
    </row>
    <row r="13" ht="15.75" customHeight="1">
      <c r="A13" s="18" t="s">
        <v>15</v>
      </c>
      <c r="B13" s="14">
        <f>Practicas!C6</f>
        <v>0</v>
      </c>
      <c r="C13" s="15">
        <f>Practicas!C5</f>
        <v>0</v>
      </c>
      <c r="D13" s="16"/>
      <c r="E13" s="10"/>
      <c r="F13" s="11"/>
      <c r="G13" s="17">
        <v>20.0</v>
      </c>
    </row>
    <row r="14" ht="15.75" customHeight="1">
      <c r="A14" s="19" t="s">
        <v>16</v>
      </c>
      <c r="B14" s="20">
        <f>Tareas!C6</f>
        <v>10</v>
      </c>
      <c r="C14" s="15">
        <f>Tareas!C5</f>
        <v>4</v>
      </c>
      <c r="D14" s="21"/>
      <c r="E14" s="22"/>
      <c r="F14" s="23"/>
      <c r="G14" s="17">
        <v>10.0</v>
      </c>
    </row>
    <row r="15" ht="15.75" customHeight="1">
      <c r="A15" s="24" t="s">
        <v>17</v>
      </c>
      <c r="B15" s="25">
        <f t="shared" ref="B15:C15" si="1">SUM(B11:B14)</f>
        <v>100</v>
      </c>
      <c r="C15" s="25">
        <f t="shared" si="1"/>
        <v>1082</v>
      </c>
      <c r="D15" s="26" t="s">
        <v>18</v>
      </c>
      <c r="E15" s="27" t="str">
        <f>IFERROR(__xludf.DUMMYFUNCTION("LET(
  nombres,A11:A14,
  p,B11:B14,
  m,G11:G14,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Revisar: Exceden: Actividades durante el peridodo de laboratorio (20&gt;10); Proyectos (70&gt;60)")</f>
        <v>❌ Revisar: Exceden: Actividades durante el peridodo de laboratorio (20&gt;10); Proyectos (70&gt;60)</v>
      </c>
      <c r="F15" s="28"/>
      <c r="G15" s="29"/>
    </row>
    <row r="16" ht="15.75" customHeight="1">
      <c r="A16" s="1"/>
    </row>
    <row r="17" ht="15.75" customHeight="1">
      <c r="A17" s="1"/>
    </row>
    <row r="18" ht="15.75" customHeight="1">
      <c r="A18" s="1"/>
      <c r="C18" s="30" t="s">
        <v>19</v>
      </c>
      <c r="D18" s="30">
        <v>10.0</v>
      </c>
    </row>
    <row r="19" ht="15.75" customHeight="1">
      <c r="A19" s="1"/>
      <c r="C19" s="30" t="s">
        <v>20</v>
      </c>
      <c r="D19" s="30">
        <v>30.0</v>
      </c>
    </row>
    <row r="20" ht="15.75" customHeight="1">
      <c r="A20" s="1"/>
      <c r="C20" s="30" t="s">
        <v>21</v>
      </c>
      <c r="D20" s="30">
        <v>40.0</v>
      </c>
    </row>
    <row r="21" ht="15.75" customHeight="1">
      <c r="A21" s="1"/>
      <c r="C21" s="30" t="s">
        <v>16</v>
      </c>
      <c r="D21" s="30">
        <v>10.0</v>
      </c>
      <c r="E21" s="30">
        <v>4.0</v>
      </c>
    </row>
    <row r="22" ht="15.75" customHeight="1">
      <c r="A22" s="1"/>
      <c r="C22" s="30" t="s">
        <v>22</v>
      </c>
      <c r="D22" s="30">
        <v>10.0</v>
      </c>
    </row>
    <row r="23" ht="15.75" customHeight="1">
      <c r="A23" s="1"/>
      <c r="D23" s="31">
        <f>SUM(D18:D22)</f>
        <v>100</v>
      </c>
    </row>
    <row r="24" ht="15.75" customHeight="1">
      <c r="A24" s="1"/>
    </row>
    <row r="25" ht="15.75" customHeight="1">
      <c r="A25" s="1"/>
    </row>
    <row r="26" ht="15.75" customHeight="1">
      <c r="A26" s="1"/>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D12:F12"/>
    <mergeCell ref="D13:F13"/>
    <mergeCell ref="D14:F14"/>
    <mergeCell ref="E15:G15"/>
    <mergeCell ref="C4:H4"/>
    <mergeCell ref="C5:H5"/>
    <mergeCell ref="C6:H6"/>
    <mergeCell ref="A8:G8"/>
    <mergeCell ref="A9:G9"/>
    <mergeCell ref="D10:F10"/>
    <mergeCell ref="D11:F11"/>
  </mergeCells>
  <dataValidations>
    <dataValidation type="list" allowBlank="1" showErrorMessage="1" sqref="C4">
      <formula1>Metadata!$A$2:$A$81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75"/>
    <col customWidth="1" min="4" max="4" width="17.0"/>
  </cols>
  <sheetData>
    <row r="1">
      <c r="A1" s="32"/>
      <c r="B1" s="33" t="s">
        <v>23</v>
      </c>
      <c r="Q1" s="32"/>
      <c r="R1" s="32"/>
      <c r="S1" s="32"/>
      <c r="T1" s="32"/>
      <c r="U1" s="32"/>
      <c r="V1" s="32"/>
      <c r="W1" s="32"/>
      <c r="X1" s="32"/>
      <c r="Y1" s="32"/>
      <c r="Z1" s="32"/>
    </row>
    <row r="2">
      <c r="A2" s="32"/>
      <c r="B2" s="3" t="s">
        <v>1</v>
      </c>
      <c r="C2" s="4" t="s">
        <v>2</v>
      </c>
      <c r="I2" s="32"/>
      <c r="J2" s="32"/>
      <c r="K2" s="32"/>
      <c r="L2" s="32"/>
      <c r="M2" s="32"/>
      <c r="N2" s="32"/>
      <c r="O2" s="32"/>
      <c r="P2" s="32"/>
      <c r="Q2" s="32"/>
      <c r="R2" s="32"/>
      <c r="S2" s="32"/>
      <c r="T2" s="32"/>
      <c r="U2" s="32"/>
      <c r="V2" s="32"/>
      <c r="W2" s="32"/>
      <c r="X2" s="32"/>
      <c r="Y2" s="32"/>
      <c r="Z2" s="32"/>
    </row>
    <row r="3">
      <c r="A3" s="32"/>
      <c r="B3" s="3" t="s">
        <v>3</v>
      </c>
      <c r="C3" s="6" t="s">
        <v>4</v>
      </c>
      <c r="I3" s="32"/>
      <c r="J3" s="32"/>
      <c r="K3" s="32"/>
      <c r="L3" s="32"/>
      <c r="M3" s="32"/>
      <c r="N3" s="32"/>
      <c r="O3" s="32"/>
      <c r="P3" s="32"/>
      <c r="Q3" s="32"/>
      <c r="R3" s="32"/>
      <c r="S3" s="32"/>
      <c r="T3" s="32"/>
      <c r="U3" s="32"/>
      <c r="V3" s="32"/>
      <c r="W3" s="32"/>
      <c r="X3" s="32"/>
      <c r="Y3" s="32"/>
      <c r="Z3" s="32"/>
    </row>
    <row r="4">
      <c r="A4" s="32"/>
      <c r="B4" s="32"/>
      <c r="C4" s="32"/>
      <c r="D4" s="32"/>
      <c r="E4" s="32"/>
      <c r="F4" s="32"/>
      <c r="G4" s="32"/>
      <c r="H4" s="32"/>
      <c r="I4" s="32"/>
      <c r="J4" s="32"/>
      <c r="K4" s="32"/>
      <c r="L4" s="32"/>
      <c r="M4" s="32"/>
      <c r="N4" s="32"/>
      <c r="O4" s="32"/>
      <c r="P4" s="32"/>
      <c r="Q4" s="32"/>
      <c r="R4" s="32"/>
      <c r="S4" s="32"/>
      <c r="T4" s="32"/>
      <c r="U4" s="32"/>
      <c r="V4" s="32"/>
      <c r="W4" s="32"/>
      <c r="X4" s="32"/>
      <c r="Y4" s="32"/>
      <c r="Z4" s="32"/>
    </row>
    <row r="5">
      <c r="A5" s="32"/>
      <c r="B5" s="34" t="s">
        <v>24</v>
      </c>
      <c r="C5" s="35"/>
      <c r="D5" s="35"/>
      <c r="E5" s="35"/>
      <c r="F5" s="35"/>
      <c r="G5" s="36"/>
      <c r="H5" s="32"/>
      <c r="I5" s="34" t="s">
        <v>25</v>
      </c>
      <c r="J5" s="35"/>
      <c r="K5" s="35"/>
      <c r="L5" s="35"/>
      <c r="M5" s="35"/>
      <c r="N5" s="35"/>
      <c r="O5" s="35"/>
      <c r="P5" s="36"/>
      <c r="Q5" s="32"/>
      <c r="R5" s="32"/>
      <c r="S5" s="32"/>
      <c r="T5" s="32"/>
      <c r="U5" s="32"/>
      <c r="V5" s="32"/>
      <c r="W5" s="32"/>
      <c r="X5" s="32"/>
      <c r="Y5" s="32"/>
      <c r="Z5" s="32"/>
    </row>
    <row r="6">
      <c r="A6" s="32"/>
      <c r="B6" s="37">
        <v>1.0</v>
      </c>
      <c r="C6" s="38" t="s">
        <v>26</v>
      </c>
      <c r="D6" s="35"/>
      <c r="E6" s="35"/>
      <c r="F6" s="35"/>
      <c r="G6" s="36"/>
      <c r="H6" s="39"/>
      <c r="I6" s="37">
        <v>1.0</v>
      </c>
      <c r="J6" s="38" t="s">
        <v>27</v>
      </c>
      <c r="K6" s="35"/>
      <c r="L6" s="35"/>
      <c r="M6" s="35"/>
      <c r="N6" s="35"/>
      <c r="O6" s="35"/>
      <c r="P6" s="36"/>
      <c r="Q6" s="32"/>
      <c r="R6" s="32"/>
      <c r="S6" s="32"/>
      <c r="T6" s="32"/>
      <c r="U6" s="32"/>
      <c r="V6" s="32"/>
      <c r="W6" s="32"/>
      <c r="X6" s="32"/>
      <c r="Y6" s="32"/>
      <c r="Z6" s="32"/>
    </row>
    <row r="7">
      <c r="A7" s="32"/>
      <c r="B7" s="40">
        <v>2.0</v>
      </c>
      <c r="C7" s="38" t="s">
        <v>28</v>
      </c>
      <c r="D7" s="35"/>
      <c r="E7" s="35"/>
      <c r="F7" s="35"/>
      <c r="G7" s="36"/>
      <c r="H7" s="32"/>
      <c r="I7" s="41">
        <v>2.0</v>
      </c>
      <c r="J7" s="38" t="s">
        <v>29</v>
      </c>
      <c r="K7" s="35"/>
      <c r="L7" s="35"/>
      <c r="M7" s="35"/>
      <c r="N7" s="35"/>
      <c r="O7" s="35"/>
      <c r="P7" s="36"/>
      <c r="Q7" s="32"/>
      <c r="R7" s="32"/>
      <c r="S7" s="32"/>
      <c r="T7" s="32"/>
      <c r="U7" s="32"/>
      <c r="V7" s="32"/>
      <c r="W7" s="32"/>
      <c r="X7" s="32"/>
      <c r="Y7" s="32"/>
      <c r="Z7" s="32"/>
    </row>
    <row r="8">
      <c r="A8" s="32"/>
      <c r="B8" s="40">
        <v>3.0</v>
      </c>
      <c r="C8" s="38" t="s">
        <v>30</v>
      </c>
      <c r="D8" s="35"/>
      <c r="E8" s="35"/>
      <c r="F8" s="35"/>
      <c r="G8" s="36"/>
      <c r="H8" s="32"/>
      <c r="I8" s="41">
        <v>3.0</v>
      </c>
      <c r="J8" s="38" t="s">
        <v>31</v>
      </c>
      <c r="K8" s="35"/>
      <c r="L8" s="35"/>
      <c r="M8" s="35"/>
      <c r="N8" s="35"/>
      <c r="O8" s="35"/>
      <c r="P8" s="36"/>
      <c r="Q8" s="32"/>
      <c r="R8" s="32"/>
      <c r="S8" s="32"/>
      <c r="T8" s="32"/>
      <c r="U8" s="32"/>
      <c r="V8" s="32"/>
      <c r="W8" s="32"/>
      <c r="X8" s="32"/>
      <c r="Y8" s="32"/>
      <c r="Z8" s="32"/>
    </row>
    <row r="9">
      <c r="A9" s="32"/>
      <c r="B9" s="32"/>
      <c r="C9" s="32"/>
      <c r="D9" s="32"/>
      <c r="E9" s="32"/>
      <c r="F9" s="32"/>
      <c r="G9" s="32"/>
      <c r="H9" s="32"/>
      <c r="I9" s="32"/>
      <c r="J9" s="32"/>
      <c r="K9" s="32"/>
      <c r="L9" s="32"/>
      <c r="M9" s="32"/>
      <c r="N9" s="32"/>
      <c r="O9" s="32"/>
      <c r="P9" s="32"/>
      <c r="Q9" s="32"/>
      <c r="R9" s="32"/>
      <c r="S9" s="32"/>
      <c r="T9" s="32"/>
      <c r="U9" s="32"/>
      <c r="V9" s="32"/>
      <c r="W9" s="32"/>
      <c r="X9" s="32"/>
      <c r="Y9" s="32"/>
      <c r="Z9" s="32"/>
    </row>
    <row r="10">
      <c r="A10" s="32"/>
      <c r="B10" s="32"/>
      <c r="C10" s="32"/>
      <c r="D10" s="32"/>
      <c r="E10" s="32"/>
      <c r="F10" s="32"/>
      <c r="G10" s="32"/>
      <c r="H10" s="32"/>
      <c r="I10" s="32"/>
      <c r="J10" s="32"/>
      <c r="K10" s="32"/>
      <c r="L10" s="32"/>
      <c r="M10" s="32"/>
      <c r="N10" s="32"/>
      <c r="O10" s="32"/>
      <c r="P10" s="32"/>
      <c r="Q10" s="32"/>
      <c r="R10" s="32"/>
      <c r="S10" s="32"/>
      <c r="T10" s="32"/>
      <c r="U10" s="32"/>
      <c r="V10" s="32"/>
      <c r="W10" s="32"/>
      <c r="X10" s="32"/>
      <c r="Y10" s="32"/>
      <c r="Z10" s="32"/>
    </row>
    <row r="11">
      <c r="A11" s="32"/>
      <c r="B11" s="42" t="s">
        <v>32</v>
      </c>
      <c r="C11" s="42" t="s">
        <v>33</v>
      </c>
      <c r="D11" s="42" t="s">
        <v>34</v>
      </c>
      <c r="E11" s="43" t="s">
        <v>35</v>
      </c>
      <c r="F11" s="36"/>
      <c r="G11" s="44" t="s">
        <v>36</v>
      </c>
      <c r="H11" s="45" t="s">
        <v>37</v>
      </c>
      <c r="I11" s="36"/>
      <c r="J11" s="42" t="s">
        <v>38</v>
      </c>
      <c r="K11" s="32"/>
      <c r="L11" s="32"/>
      <c r="M11" s="32"/>
      <c r="N11" s="32"/>
      <c r="O11" s="32"/>
      <c r="P11" s="32"/>
      <c r="Q11" s="32"/>
      <c r="R11" s="32"/>
      <c r="S11" s="32"/>
      <c r="T11" s="32"/>
      <c r="U11" s="32"/>
      <c r="V11" s="32"/>
      <c r="W11" s="32"/>
      <c r="X11" s="32"/>
      <c r="Y11" s="32"/>
      <c r="Z11" s="32"/>
    </row>
    <row r="12">
      <c r="A12" s="32"/>
      <c r="B12" s="46">
        <v>1.0</v>
      </c>
      <c r="C12" s="47" t="s">
        <v>39</v>
      </c>
      <c r="D12" s="48" t="s">
        <v>40</v>
      </c>
      <c r="E12" s="49" t="s">
        <v>41</v>
      </c>
      <c r="F12" s="36"/>
      <c r="G12" s="50" t="s">
        <v>42</v>
      </c>
      <c r="H12" s="51" t="s">
        <v>43</v>
      </c>
      <c r="I12" s="36"/>
      <c r="J12" s="52"/>
      <c r="K12" s="32"/>
      <c r="L12" s="32"/>
      <c r="M12" s="32"/>
      <c r="N12" s="32"/>
      <c r="O12" s="32"/>
      <c r="P12" s="32"/>
      <c r="Q12" s="32"/>
      <c r="R12" s="32"/>
      <c r="S12" s="32"/>
      <c r="T12" s="32"/>
      <c r="U12" s="32"/>
      <c r="V12" s="32"/>
      <c r="W12" s="32"/>
      <c r="X12" s="32"/>
      <c r="Y12" s="32"/>
      <c r="Z12" s="32"/>
    </row>
    <row r="13">
      <c r="A13" s="32"/>
      <c r="B13" s="53"/>
      <c r="C13" s="54" t="str">
        <f>D12 &amp; " " &amp; E12 &amp; " " &amp;G12&amp; " " &amp;H12&amp; " " </f>
        <v>Identifica los elementos de una base de datos relacional mediante la exploración de Motores de bases de datos para comprender estructura y organización de datos </v>
      </c>
      <c r="D13" s="35"/>
      <c r="E13" s="35"/>
      <c r="F13" s="35"/>
      <c r="G13" s="35"/>
      <c r="H13" s="35"/>
      <c r="I13" s="35"/>
      <c r="J13" s="36"/>
      <c r="K13" s="32"/>
      <c r="L13" s="32"/>
      <c r="M13" s="32"/>
      <c r="N13" s="32"/>
      <c r="O13" s="32"/>
      <c r="P13" s="32"/>
      <c r="Q13" s="32"/>
      <c r="R13" s="32"/>
      <c r="S13" s="32"/>
      <c r="T13" s="32"/>
      <c r="U13" s="32"/>
      <c r="V13" s="32"/>
      <c r="W13" s="32"/>
      <c r="X13" s="32"/>
      <c r="Y13" s="32"/>
      <c r="Z13" s="32"/>
    </row>
    <row r="14">
      <c r="A14" s="32"/>
      <c r="B14" s="46">
        <v>2.0</v>
      </c>
      <c r="C14" s="47" t="s">
        <v>39</v>
      </c>
      <c r="D14" s="48" t="s">
        <v>44</v>
      </c>
      <c r="E14" s="55" t="s">
        <v>45</v>
      </c>
      <c r="F14" s="36"/>
      <c r="G14" s="56" t="s">
        <v>46</v>
      </c>
      <c r="H14" s="57" t="s">
        <v>47</v>
      </c>
      <c r="I14" s="36"/>
      <c r="J14" s="52"/>
      <c r="K14" s="32"/>
      <c r="L14" s="32"/>
      <c r="M14" s="32"/>
      <c r="N14" s="32"/>
      <c r="O14" s="32"/>
      <c r="P14" s="32"/>
      <c r="Q14" s="32"/>
      <c r="R14" s="32"/>
      <c r="S14" s="32"/>
      <c r="T14" s="32"/>
      <c r="U14" s="32"/>
      <c r="V14" s="32"/>
      <c r="W14" s="32"/>
      <c r="X14" s="32"/>
      <c r="Y14" s="32"/>
      <c r="Z14" s="32"/>
    </row>
    <row r="15">
      <c r="A15" s="32"/>
      <c r="B15" s="53"/>
      <c r="C15" s="54" t="str">
        <f>D14 &amp; " " &amp; E14 &amp; " " &amp;G14&amp; " " &amp;H14&amp; " " </f>
        <v>Aplica la creación de tablas, consultas y formularios utilizando motores de bases de datos para resolver problemas prácticos de gestión de información </v>
      </c>
      <c r="D15" s="35"/>
      <c r="E15" s="35"/>
      <c r="F15" s="35"/>
      <c r="G15" s="35"/>
      <c r="H15" s="35"/>
      <c r="I15" s="35"/>
      <c r="J15" s="36"/>
      <c r="K15" s="32"/>
      <c r="L15" s="32"/>
      <c r="M15" s="32"/>
      <c r="N15" s="32"/>
      <c r="O15" s="32"/>
      <c r="P15" s="32"/>
      <c r="Q15" s="32"/>
      <c r="R15" s="32"/>
      <c r="S15" s="32"/>
      <c r="T15" s="32"/>
      <c r="U15" s="32"/>
      <c r="V15" s="32"/>
      <c r="W15" s="32"/>
      <c r="X15" s="32"/>
      <c r="Y15" s="32"/>
      <c r="Z15" s="32"/>
    </row>
    <row r="16">
      <c r="A16" s="32"/>
      <c r="B16" s="46">
        <v>3.0</v>
      </c>
      <c r="C16" s="47" t="s">
        <v>39</v>
      </c>
      <c r="D16" s="48" t="s">
        <v>48</v>
      </c>
      <c r="E16" s="55" t="s">
        <v>49</v>
      </c>
      <c r="F16" s="36"/>
      <c r="G16" s="56" t="s">
        <v>50</v>
      </c>
      <c r="H16" s="57" t="s">
        <v>51</v>
      </c>
      <c r="I16" s="36"/>
      <c r="J16" s="52"/>
      <c r="K16" s="32"/>
      <c r="L16" s="32"/>
      <c r="M16" s="32"/>
      <c r="N16" s="32"/>
      <c r="O16" s="32"/>
      <c r="P16" s="32"/>
      <c r="Q16" s="32"/>
      <c r="R16" s="32"/>
      <c r="S16" s="32"/>
      <c r="T16" s="32"/>
      <c r="U16" s="32"/>
      <c r="V16" s="32"/>
      <c r="W16" s="32"/>
      <c r="X16" s="32"/>
      <c r="Y16" s="32"/>
      <c r="Z16" s="32"/>
    </row>
    <row r="17">
      <c r="A17" s="32"/>
      <c r="B17" s="53"/>
      <c r="C17" s="54" t="str">
        <f>D16 &amp; " " &amp; E16 &amp; " " &amp;G16&amp; " " &amp;H16&amp; " " </f>
        <v>Analiza la relación entre tareas, recursos y cronogramas con Microsoft Project para planificar proyectos académicos o simulados de manera ordenada </v>
      </c>
      <c r="D17" s="35"/>
      <c r="E17" s="35"/>
      <c r="F17" s="35"/>
      <c r="G17" s="35"/>
      <c r="H17" s="35"/>
      <c r="I17" s="35"/>
      <c r="J17" s="36"/>
      <c r="K17" s="32"/>
      <c r="L17" s="32"/>
      <c r="M17" s="32"/>
      <c r="N17" s="32"/>
      <c r="O17" s="32"/>
      <c r="P17" s="32"/>
      <c r="Q17" s="32"/>
      <c r="R17" s="32"/>
      <c r="S17" s="32"/>
      <c r="T17" s="32"/>
      <c r="U17" s="32"/>
      <c r="V17" s="32"/>
      <c r="W17" s="32"/>
      <c r="X17" s="32"/>
      <c r="Y17" s="32"/>
      <c r="Z17" s="32"/>
    </row>
    <row r="18">
      <c r="A18" s="32"/>
      <c r="B18" s="46">
        <v>4.0</v>
      </c>
      <c r="C18" s="47" t="s">
        <v>39</v>
      </c>
      <c r="D18" s="48" t="s">
        <v>52</v>
      </c>
      <c r="E18" s="55" t="s">
        <v>53</v>
      </c>
      <c r="F18" s="36"/>
      <c r="G18" s="56" t="s">
        <v>54</v>
      </c>
      <c r="H18" s="57" t="s">
        <v>55</v>
      </c>
      <c r="I18" s="36"/>
      <c r="J18" s="52"/>
      <c r="K18" s="32"/>
      <c r="L18" s="32"/>
      <c r="M18" s="32"/>
      <c r="N18" s="32"/>
      <c r="O18" s="32"/>
      <c r="P18" s="32"/>
      <c r="Q18" s="32"/>
      <c r="R18" s="32"/>
      <c r="S18" s="32"/>
      <c r="T18" s="32"/>
      <c r="U18" s="32"/>
      <c r="V18" s="32"/>
      <c r="W18" s="32"/>
      <c r="X18" s="32"/>
      <c r="Y18" s="32"/>
      <c r="Z18" s="32"/>
    </row>
    <row r="19">
      <c r="A19" s="32"/>
      <c r="B19" s="53"/>
      <c r="C19" s="54" t="str">
        <f>D18 &amp; " " &amp; E18 &amp; " " &amp;G18&amp; " " &amp;H18&amp; " " </f>
        <v>Desarolla dasboards interactivos mediante Power BI para visualizar datos integrados de Access y Excel en un entorno práctico </v>
      </c>
      <c r="D19" s="35"/>
      <c r="E19" s="35"/>
      <c r="F19" s="35"/>
      <c r="G19" s="35"/>
      <c r="H19" s="35"/>
      <c r="I19" s="35"/>
      <c r="J19" s="36"/>
      <c r="K19" s="32"/>
      <c r="L19" s="32"/>
      <c r="M19" s="32"/>
      <c r="N19" s="32"/>
      <c r="O19" s="32"/>
      <c r="P19" s="32"/>
      <c r="Q19" s="32"/>
      <c r="R19" s="32"/>
      <c r="S19" s="32"/>
      <c r="T19" s="32"/>
      <c r="U19" s="32"/>
      <c r="V19" s="32"/>
      <c r="W19" s="32"/>
      <c r="X19" s="32"/>
      <c r="Y19" s="32"/>
      <c r="Z19" s="32"/>
    </row>
    <row r="20">
      <c r="A20" s="32"/>
      <c r="B20" s="46">
        <v>5.0</v>
      </c>
      <c r="C20" s="47" t="s">
        <v>39</v>
      </c>
      <c r="D20" s="48" t="s">
        <v>56</v>
      </c>
      <c r="E20" s="55" t="s">
        <v>57</v>
      </c>
      <c r="F20" s="36"/>
      <c r="G20" s="56" t="s">
        <v>58</v>
      </c>
      <c r="H20" s="57" t="s">
        <v>59</v>
      </c>
      <c r="I20" s="36"/>
      <c r="J20" s="52"/>
      <c r="K20" s="32"/>
      <c r="L20" s="32"/>
      <c r="M20" s="32"/>
      <c r="N20" s="32"/>
      <c r="O20" s="32"/>
      <c r="P20" s="32"/>
      <c r="Q20" s="32"/>
      <c r="R20" s="32"/>
      <c r="S20" s="32"/>
      <c r="T20" s="32"/>
      <c r="U20" s="32"/>
      <c r="V20" s="32"/>
      <c r="W20" s="32"/>
      <c r="X20" s="32"/>
      <c r="Y20" s="32"/>
      <c r="Z20" s="32"/>
    </row>
    <row r="21">
      <c r="A21" s="32"/>
      <c r="B21" s="53"/>
      <c r="C21" s="54" t="str">
        <f>D20 &amp; " " &amp; E20 &amp; " " &amp;G20&amp; " " &amp;H20&amp; " " </f>
        <v>Evalúa la importancia de la ética en el uso de datos mediante el análisis de normativas y casos reales para proponer soluciones tecnológicas </v>
      </c>
      <c r="D21" s="35"/>
      <c r="E21" s="35"/>
      <c r="F21" s="35"/>
      <c r="G21" s="35"/>
      <c r="H21" s="35"/>
      <c r="I21" s="35"/>
      <c r="J21" s="36"/>
      <c r="K21" s="32"/>
      <c r="L21" s="32"/>
      <c r="M21" s="32"/>
      <c r="N21" s="32"/>
      <c r="O21" s="32"/>
      <c r="P21" s="32"/>
      <c r="Q21" s="32"/>
      <c r="R21" s="32"/>
      <c r="S21" s="32"/>
      <c r="T21" s="32"/>
      <c r="U21" s="32"/>
      <c r="V21" s="32"/>
      <c r="W21" s="32"/>
      <c r="X21" s="32"/>
      <c r="Y21" s="32"/>
      <c r="Z21" s="32"/>
    </row>
    <row r="22">
      <c r="A22" s="32"/>
      <c r="B22" s="46">
        <v>6.0</v>
      </c>
      <c r="C22" s="47" t="s">
        <v>39</v>
      </c>
      <c r="D22" s="48" t="s">
        <v>60</v>
      </c>
      <c r="E22" s="55" t="s">
        <v>61</v>
      </c>
      <c r="F22" s="36"/>
      <c r="G22" s="56" t="s">
        <v>62</v>
      </c>
      <c r="H22" s="57" t="s">
        <v>63</v>
      </c>
      <c r="I22" s="36"/>
      <c r="J22" s="52"/>
      <c r="K22" s="32"/>
      <c r="L22" s="32"/>
      <c r="M22" s="32"/>
      <c r="N22" s="32"/>
      <c r="O22" s="32"/>
      <c r="P22" s="32"/>
      <c r="Q22" s="32"/>
      <c r="R22" s="32"/>
      <c r="S22" s="32"/>
      <c r="T22" s="32"/>
      <c r="U22" s="32"/>
      <c r="V22" s="32"/>
      <c r="W22" s="32"/>
      <c r="X22" s="32"/>
      <c r="Y22" s="32"/>
      <c r="Z22" s="32"/>
    </row>
    <row r="23">
      <c r="A23" s="32"/>
      <c r="B23" s="53"/>
      <c r="C23" s="54" t="str">
        <f>D22 &amp; " " &amp; E22 &amp; " " &amp;G22&amp; " " &amp;H22&amp; " " </f>
        <v>Integra datos de múltiples fuentes con prácticas de laboratorio para generar reportes que appoyen la toma de decisiones </v>
      </c>
      <c r="D23" s="35"/>
      <c r="E23" s="35"/>
      <c r="F23" s="35"/>
      <c r="G23" s="35"/>
      <c r="H23" s="35"/>
      <c r="I23" s="35"/>
      <c r="J23" s="36"/>
      <c r="K23" s="32"/>
      <c r="L23" s="32"/>
      <c r="M23" s="32"/>
      <c r="N23" s="32"/>
      <c r="O23" s="32"/>
      <c r="P23" s="32"/>
      <c r="Q23" s="32"/>
      <c r="R23" s="32"/>
      <c r="S23" s="32"/>
      <c r="T23" s="32"/>
      <c r="U23" s="32"/>
      <c r="V23" s="32"/>
      <c r="W23" s="32"/>
      <c r="X23" s="32"/>
      <c r="Y23" s="32"/>
      <c r="Z23" s="32"/>
    </row>
    <row r="24">
      <c r="A24" s="32"/>
      <c r="B24" s="46">
        <v>7.0</v>
      </c>
      <c r="C24" s="47" t="s">
        <v>39</v>
      </c>
      <c r="D24" s="48" t="s">
        <v>64</v>
      </c>
      <c r="E24" s="55" t="s">
        <v>65</v>
      </c>
      <c r="F24" s="36"/>
      <c r="G24" s="56" t="s">
        <v>66</v>
      </c>
      <c r="H24" s="57" t="s">
        <v>67</v>
      </c>
      <c r="I24" s="36"/>
      <c r="J24" s="52"/>
      <c r="K24" s="32"/>
      <c r="L24" s="32"/>
      <c r="M24" s="32"/>
      <c r="N24" s="32"/>
      <c r="O24" s="32"/>
      <c r="P24" s="32"/>
      <c r="Q24" s="32"/>
      <c r="R24" s="32"/>
      <c r="S24" s="32"/>
      <c r="T24" s="32"/>
      <c r="U24" s="32"/>
      <c r="V24" s="32"/>
      <c r="W24" s="32"/>
      <c r="X24" s="32"/>
      <c r="Y24" s="32"/>
      <c r="Z24" s="32"/>
    </row>
    <row r="25">
      <c r="A25" s="32"/>
      <c r="B25" s="53"/>
      <c r="C25" s="54" t="str">
        <f>D24 &amp; " " &amp; E24 &amp; " " &amp;G24&amp; " " &amp;H24&amp; " " </f>
        <v>Crea un proyecto final de análisis y presentación de información utilizando Access Project y Power BI de manera conjunta bajo lineamientos de calidad </v>
      </c>
      <c r="D25" s="35"/>
      <c r="E25" s="35"/>
      <c r="F25" s="35"/>
      <c r="G25" s="35"/>
      <c r="H25" s="35"/>
      <c r="I25" s="35"/>
      <c r="J25" s="36"/>
      <c r="K25" s="32"/>
      <c r="L25" s="32"/>
      <c r="M25" s="32"/>
      <c r="N25" s="32"/>
      <c r="O25" s="32"/>
      <c r="P25" s="32"/>
      <c r="Q25" s="32"/>
      <c r="R25" s="32"/>
      <c r="S25" s="32"/>
      <c r="T25" s="32"/>
      <c r="U25" s="32"/>
      <c r="V25" s="32"/>
      <c r="W25" s="32"/>
      <c r="X25" s="32"/>
      <c r="Y25" s="32"/>
      <c r="Z25" s="32"/>
    </row>
    <row r="26">
      <c r="A26" s="32"/>
      <c r="B26" s="58" t="s">
        <v>68</v>
      </c>
      <c r="C26" s="32"/>
      <c r="D26" s="32"/>
      <c r="E26" s="32"/>
      <c r="F26" s="32"/>
      <c r="G26" s="32"/>
      <c r="H26" s="32"/>
      <c r="I26" s="32"/>
      <c r="J26" s="32"/>
      <c r="K26" s="32"/>
      <c r="L26" s="32"/>
      <c r="M26" s="32"/>
      <c r="N26" s="32"/>
      <c r="O26" s="32"/>
      <c r="P26" s="32"/>
      <c r="Q26" s="32"/>
      <c r="R26" s="32"/>
      <c r="S26" s="32"/>
      <c r="T26" s="32"/>
      <c r="U26" s="32"/>
      <c r="V26" s="32"/>
      <c r="W26" s="32"/>
      <c r="X26" s="32"/>
      <c r="Y26" s="32"/>
      <c r="Z26" s="32"/>
    </row>
    <row r="27">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c r="A28" s="32"/>
      <c r="B28" s="59" t="s">
        <v>69</v>
      </c>
      <c r="C28" s="35"/>
      <c r="D28" s="35"/>
      <c r="E28" s="35"/>
      <c r="F28" s="35"/>
      <c r="G28" s="35"/>
      <c r="H28" s="35"/>
      <c r="I28" s="35"/>
      <c r="J28" s="36"/>
      <c r="K28" s="32"/>
      <c r="L28" s="32"/>
      <c r="M28" s="32"/>
      <c r="N28" s="32"/>
      <c r="O28" s="32"/>
      <c r="P28" s="32"/>
      <c r="Q28" s="32"/>
      <c r="R28" s="32"/>
      <c r="S28" s="32"/>
      <c r="T28" s="32"/>
      <c r="U28" s="32"/>
      <c r="V28" s="32"/>
      <c r="W28" s="32"/>
      <c r="X28" s="32"/>
      <c r="Y28" s="32"/>
      <c r="Z28" s="32"/>
    </row>
    <row r="29">
      <c r="A29" s="32"/>
      <c r="B29" s="60" t="s">
        <v>70</v>
      </c>
      <c r="C29" s="61"/>
      <c r="D29" s="61"/>
      <c r="E29" s="61"/>
      <c r="F29" s="61"/>
      <c r="G29" s="61"/>
      <c r="H29" s="61"/>
      <c r="I29" s="61"/>
      <c r="J29" s="62"/>
      <c r="K29" s="32"/>
      <c r="L29" s="32"/>
      <c r="M29" s="32"/>
      <c r="N29" s="32"/>
      <c r="O29" s="32"/>
      <c r="P29" s="32"/>
      <c r="Q29" s="32"/>
      <c r="R29" s="32"/>
      <c r="S29" s="32"/>
      <c r="T29" s="32"/>
      <c r="U29" s="32"/>
      <c r="V29" s="32"/>
      <c r="W29" s="32"/>
      <c r="X29" s="32"/>
      <c r="Y29" s="32"/>
      <c r="Z29" s="32"/>
    </row>
    <row r="30">
      <c r="A30" s="32"/>
      <c r="B30" s="63"/>
      <c r="C30" s="64"/>
      <c r="D30" s="64"/>
      <c r="E30" s="64"/>
      <c r="F30" s="64"/>
      <c r="G30" s="64"/>
      <c r="H30" s="64"/>
      <c r="I30" s="64"/>
      <c r="J30" s="65"/>
      <c r="K30" s="32"/>
      <c r="L30" s="32"/>
      <c r="M30" s="32"/>
      <c r="N30" s="32"/>
      <c r="O30" s="32"/>
      <c r="P30" s="32"/>
      <c r="Q30" s="32"/>
      <c r="R30" s="32"/>
      <c r="S30" s="32"/>
      <c r="T30" s="32"/>
      <c r="U30" s="32"/>
      <c r="V30" s="32"/>
      <c r="W30" s="32"/>
      <c r="X30" s="32"/>
      <c r="Y30" s="32"/>
      <c r="Z30" s="32"/>
    </row>
    <row r="3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row r="1001">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row>
    <row r="1002">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row>
  </sheetData>
  <mergeCells count="36">
    <mergeCell ref="J6:P6"/>
    <mergeCell ref="J7:P7"/>
    <mergeCell ref="B1:P1"/>
    <mergeCell ref="C2:H2"/>
    <mergeCell ref="C3:H3"/>
    <mergeCell ref="B5:G5"/>
    <mergeCell ref="I5:P5"/>
    <mergeCell ref="C6:G6"/>
    <mergeCell ref="C7:G7"/>
    <mergeCell ref="C8:G8"/>
    <mergeCell ref="J8:P8"/>
    <mergeCell ref="E11:F11"/>
    <mergeCell ref="H11:I11"/>
    <mergeCell ref="E12:F12"/>
    <mergeCell ref="H12:I12"/>
    <mergeCell ref="C13:J13"/>
    <mergeCell ref="E14:F14"/>
    <mergeCell ref="H14:I14"/>
    <mergeCell ref="C15:J15"/>
    <mergeCell ref="E16:F16"/>
    <mergeCell ref="H16:I16"/>
    <mergeCell ref="C17:J17"/>
    <mergeCell ref="E18:F18"/>
    <mergeCell ref="E22:F22"/>
    <mergeCell ref="E24:F24"/>
    <mergeCell ref="H24:I24"/>
    <mergeCell ref="C25:J25"/>
    <mergeCell ref="B28:J28"/>
    <mergeCell ref="B29:J30"/>
    <mergeCell ref="H18:I18"/>
    <mergeCell ref="C19:J19"/>
    <mergeCell ref="E20:F20"/>
    <mergeCell ref="H20:I20"/>
    <mergeCell ref="C21:J21"/>
    <mergeCell ref="H22:I22"/>
    <mergeCell ref="C23:J23"/>
  </mergeCells>
  <dataValidations>
    <dataValidation type="list" allowBlank="1" showErrorMessage="1" sqref="C12 C14 C16 C18 C20 C22 C24">
      <formula1>"Especifica,General"</formula1>
    </dataValidation>
    <dataValidation type="list" allowBlank="1" showErrorMessage="1" sqref="C2">
      <formula1>Metadata!$A$2:$A$81</formula1>
    </dataValidation>
    <dataValidation type="list" allowBlank="1" showErrorMessage="1" sqref="C6:C8">
      <formula1>Metadata!$C$2:$C$10</formula1>
    </dataValidation>
    <dataValidation type="list" allowBlank="1" showErrorMessage="1" sqref="J6:J8">
      <formula1>Metadata!$D$2:$D$10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125.5"/>
    <col customWidth="1" min="4" max="4" width="19.38"/>
    <col customWidth="1" min="5" max="5" width="35.25"/>
    <col customWidth="1" min="6" max="6" width="71.0"/>
    <col customWidth="1" min="7" max="7" width="4.63"/>
    <col customWidth="1" min="8" max="8" width="8.0"/>
  </cols>
  <sheetData>
    <row r="1" ht="15.75" customHeight="1"/>
    <row r="2" ht="15.75" customHeight="1">
      <c r="A2" s="66"/>
      <c r="B2" s="67" t="s">
        <v>71</v>
      </c>
    </row>
    <row r="3" ht="15.75" customHeight="1"/>
    <row r="4" ht="15.75" customHeight="1">
      <c r="B4" s="3" t="s">
        <v>1</v>
      </c>
      <c r="C4" s="4" t="s">
        <v>2</v>
      </c>
    </row>
    <row r="5" ht="15.75" customHeight="1">
      <c r="B5" s="3" t="s">
        <v>72</v>
      </c>
      <c r="C5" s="6" t="s">
        <v>4</v>
      </c>
    </row>
    <row r="6" ht="15.75" customHeight="1">
      <c r="H6" s="58"/>
    </row>
    <row r="7" ht="15.75" customHeight="1">
      <c r="H7" s="58"/>
    </row>
    <row r="8" ht="15.75" customHeight="1">
      <c r="A8" s="68"/>
      <c r="B8" s="47" t="s">
        <v>73</v>
      </c>
      <c r="C8" s="69" t="s">
        <v>74</v>
      </c>
      <c r="D8" s="47" t="s">
        <v>75</v>
      </c>
      <c r="E8" s="47" t="s">
        <v>76</v>
      </c>
      <c r="F8" s="47" t="s">
        <v>77</v>
      </c>
      <c r="G8" s="47" t="s">
        <v>78</v>
      </c>
      <c r="H8" s="47" t="s">
        <v>79</v>
      </c>
    </row>
    <row r="9" ht="15.75" customHeight="1">
      <c r="B9" s="70">
        <v>1.0</v>
      </c>
      <c r="C9" s="71" t="s">
        <v>80</v>
      </c>
      <c r="D9" s="72" t="s">
        <v>81</v>
      </c>
      <c r="E9" s="72" t="s">
        <v>82</v>
      </c>
      <c r="F9" s="72" t="s">
        <v>83</v>
      </c>
      <c r="G9" s="70"/>
      <c r="H9" s="73">
        <v>2.0</v>
      </c>
    </row>
    <row r="10" ht="15.75" customHeight="1">
      <c r="B10" s="70">
        <v>2.0</v>
      </c>
      <c r="C10" s="71" t="s">
        <v>80</v>
      </c>
      <c r="D10" s="74" t="s">
        <v>81</v>
      </c>
      <c r="E10" s="74" t="s">
        <v>82</v>
      </c>
      <c r="F10" s="74" t="s">
        <v>84</v>
      </c>
      <c r="G10" s="75"/>
      <c r="H10" s="73">
        <v>2.0</v>
      </c>
    </row>
    <row r="11" ht="15.75" customHeight="1">
      <c r="B11" s="70">
        <v>3.0</v>
      </c>
      <c r="C11" s="71" t="s">
        <v>80</v>
      </c>
      <c r="D11" s="76" t="s">
        <v>81</v>
      </c>
      <c r="E11" s="76" t="s">
        <v>82</v>
      </c>
      <c r="F11" s="76" t="s">
        <v>85</v>
      </c>
      <c r="G11" s="75"/>
      <c r="H11" s="73">
        <v>2.0</v>
      </c>
    </row>
    <row r="12" ht="15.75" customHeight="1">
      <c r="B12" s="70">
        <v>4.0</v>
      </c>
      <c r="C12" s="71" t="s">
        <v>80</v>
      </c>
      <c r="D12" s="76" t="s">
        <v>81</v>
      </c>
      <c r="E12" s="76" t="s">
        <v>82</v>
      </c>
      <c r="F12" s="76" t="s">
        <v>86</v>
      </c>
      <c r="G12" s="75"/>
      <c r="H12" s="73">
        <v>2.0</v>
      </c>
    </row>
    <row r="13" ht="15.75" customHeight="1">
      <c r="B13" s="70">
        <v>5.0</v>
      </c>
      <c r="C13" s="71" t="s">
        <v>80</v>
      </c>
      <c r="D13" s="76" t="s">
        <v>81</v>
      </c>
      <c r="E13" s="76" t="s">
        <v>87</v>
      </c>
      <c r="F13" s="76" t="s">
        <v>87</v>
      </c>
      <c r="G13" s="75"/>
      <c r="H13" s="73">
        <v>2.0</v>
      </c>
    </row>
    <row r="14" ht="15.75" customHeight="1">
      <c r="B14" s="70">
        <v>6.0</v>
      </c>
      <c r="C14" s="71" t="s">
        <v>80</v>
      </c>
      <c r="D14" s="76" t="s">
        <v>81</v>
      </c>
      <c r="E14" s="76" t="s">
        <v>88</v>
      </c>
      <c r="F14" s="76" t="s">
        <v>84</v>
      </c>
      <c r="G14" s="75"/>
      <c r="H14" s="73">
        <v>2.0</v>
      </c>
    </row>
    <row r="15" ht="15.75" customHeight="1">
      <c r="B15" s="70">
        <v>7.0</v>
      </c>
      <c r="C15" s="71" t="s">
        <v>80</v>
      </c>
      <c r="D15" s="76" t="s">
        <v>81</v>
      </c>
      <c r="E15" s="77" t="s">
        <v>89</v>
      </c>
      <c r="F15" s="78" t="s">
        <v>90</v>
      </c>
      <c r="G15" s="75"/>
      <c r="H15" s="73">
        <v>3.0</v>
      </c>
    </row>
    <row r="16" ht="15.75" customHeight="1">
      <c r="B16" s="70">
        <v>8.0</v>
      </c>
      <c r="C16" s="71" t="s">
        <v>80</v>
      </c>
      <c r="D16" s="76" t="s">
        <v>81</v>
      </c>
      <c r="E16" s="77" t="s">
        <v>91</v>
      </c>
      <c r="F16" s="78" t="s">
        <v>92</v>
      </c>
      <c r="G16" s="75"/>
      <c r="H16" s="73">
        <v>3.0</v>
      </c>
    </row>
    <row r="17" ht="15.75" customHeight="1">
      <c r="B17" s="70">
        <v>9.0</v>
      </c>
      <c r="C17" s="71" t="s">
        <v>80</v>
      </c>
      <c r="D17" s="76" t="s">
        <v>81</v>
      </c>
      <c r="E17" s="77" t="s">
        <v>93</v>
      </c>
      <c r="F17" s="79" t="s">
        <v>94</v>
      </c>
      <c r="G17" s="75"/>
      <c r="H17" s="73">
        <v>3.0</v>
      </c>
    </row>
    <row r="18" ht="15.75" customHeight="1">
      <c r="B18" s="70">
        <v>10.0</v>
      </c>
      <c r="C18" s="71" t="s">
        <v>80</v>
      </c>
      <c r="D18" s="76" t="s">
        <v>81</v>
      </c>
      <c r="E18" s="77" t="s">
        <v>95</v>
      </c>
      <c r="F18" s="79" t="s">
        <v>96</v>
      </c>
      <c r="G18" s="75"/>
      <c r="H18" s="73">
        <v>3.0</v>
      </c>
    </row>
    <row r="19" ht="15.75" customHeight="1">
      <c r="B19" s="70">
        <v>11.0</v>
      </c>
      <c r="C19" s="71" t="s">
        <v>80</v>
      </c>
      <c r="D19" s="76" t="s">
        <v>81</v>
      </c>
      <c r="E19" s="77" t="s">
        <v>97</v>
      </c>
      <c r="F19" s="79" t="s">
        <v>98</v>
      </c>
      <c r="G19" s="75"/>
      <c r="H19" s="73">
        <v>3.0</v>
      </c>
    </row>
    <row r="20" ht="15.75" customHeight="1">
      <c r="B20" s="70">
        <v>12.0</v>
      </c>
      <c r="C20" s="71" t="s">
        <v>80</v>
      </c>
      <c r="D20" s="76" t="s">
        <v>81</v>
      </c>
      <c r="E20" s="77" t="s">
        <v>99</v>
      </c>
      <c r="F20" s="79" t="s">
        <v>100</v>
      </c>
      <c r="G20" s="75"/>
      <c r="H20" s="73">
        <v>3.0</v>
      </c>
    </row>
    <row r="21" ht="15.75" customHeight="1">
      <c r="B21" s="70">
        <v>13.0</v>
      </c>
      <c r="C21" s="71" t="s">
        <v>80</v>
      </c>
      <c r="D21" s="76" t="s">
        <v>81</v>
      </c>
      <c r="E21" s="77" t="s">
        <v>101</v>
      </c>
      <c r="F21" s="78" t="s">
        <v>102</v>
      </c>
      <c r="G21" s="75"/>
      <c r="H21" s="73">
        <v>3.0</v>
      </c>
    </row>
    <row r="22" ht="15.75" customHeight="1">
      <c r="B22" s="70">
        <v>14.0</v>
      </c>
      <c r="C22" s="71" t="s">
        <v>80</v>
      </c>
      <c r="D22" s="76" t="s">
        <v>81</v>
      </c>
      <c r="E22" s="76" t="s">
        <v>103</v>
      </c>
      <c r="F22" s="76" t="s">
        <v>104</v>
      </c>
      <c r="G22" s="75"/>
      <c r="H22" s="73">
        <v>4.0</v>
      </c>
    </row>
    <row r="23" ht="15.75" customHeight="1">
      <c r="B23" s="70">
        <v>15.0</v>
      </c>
      <c r="C23" s="71" t="s">
        <v>105</v>
      </c>
      <c r="D23" s="76" t="s">
        <v>81</v>
      </c>
      <c r="E23" s="76" t="s">
        <v>106</v>
      </c>
      <c r="F23" s="76" t="s">
        <v>107</v>
      </c>
      <c r="G23" s="75"/>
      <c r="H23" s="73">
        <v>4.0</v>
      </c>
    </row>
    <row r="24" ht="15.75" customHeight="1">
      <c r="B24" s="70">
        <v>16.0</v>
      </c>
      <c r="C24" s="71" t="s">
        <v>105</v>
      </c>
      <c r="D24" s="76" t="s">
        <v>81</v>
      </c>
      <c r="E24" s="76" t="s">
        <v>106</v>
      </c>
      <c r="F24" s="76" t="s">
        <v>108</v>
      </c>
      <c r="G24" s="75"/>
      <c r="H24" s="73">
        <v>4.0</v>
      </c>
    </row>
    <row r="25" ht="15.75" customHeight="1">
      <c r="B25" s="70">
        <v>17.0</v>
      </c>
      <c r="C25" s="71" t="s">
        <v>105</v>
      </c>
      <c r="D25" s="76" t="s">
        <v>81</v>
      </c>
      <c r="E25" s="76" t="s">
        <v>106</v>
      </c>
      <c r="F25" s="76" t="s">
        <v>109</v>
      </c>
      <c r="G25" s="75"/>
      <c r="H25" s="73">
        <v>4.0</v>
      </c>
    </row>
    <row r="26" ht="15.75" customHeight="1">
      <c r="B26" s="70">
        <v>18.0</v>
      </c>
      <c r="C26" s="71" t="s">
        <v>105</v>
      </c>
      <c r="D26" s="76" t="s">
        <v>81</v>
      </c>
      <c r="E26" s="76" t="s">
        <v>106</v>
      </c>
      <c r="F26" s="76" t="s">
        <v>110</v>
      </c>
      <c r="G26" s="75"/>
      <c r="H26" s="73">
        <v>4.0</v>
      </c>
    </row>
    <row r="27" ht="15.75" customHeight="1">
      <c r="B27" s="70">
        <v>19.0</v>
      </c>
      <c r="C27" s="71" t="s">
        <v>105</v>
      </c>
      <c r="D27" s="76" t="s">
        <v>81</v>
      </c>
      <c r="E27" s="76" t="s">
        <v>106</v>
      </c>
      <c r="F27" s="76" t="s">
        <v>111</v>
      </c>
      <c r="G27" s="75"/>
      <c r="H27" s="73">
        <v>4.0</v>
      </c>
    </row>
    <row r="28" ht="15.75" customHeight="1">
      <c r="B28" s="70">
        <v>20.0</v>
      </c>
      <c r="C28" s="71" t="s">
        <v>105</v>
      </c>
      <c r="D28" s="76" t="s">
        <v>81</v>
      </c>
      <c r="E28" s="76" t="s">
        <v>106</v>
      </c>
      <c r="F28" s="76" t="s">
        <v>112</v>
      </c>
      <c r="G28" s="75"/>
      <c r="H28" s="73">
        <v>4.0</v>
      </c>
    </row>
    <row r="29" ht="15.75" customHeight="1">
      <c r="B29" s="70">
        <v>21.0</v>
      </c>
      <c r="C29" s="71" t="s">
        <v>105</v>
      </c>
      <c r="D29" s="76" t="s">
        <v>81</v>
      </c>
      <c r="E29" s="76" t="s">
        <v>106</v>
      </c>
      <c r="F29" s="76" t="s">
        <v>113</v>
      </c>
      <c r="G29" s="75"/>
      <c r="H29" s="73">
        <v>4.0</v>
      </c>
    </row>
    <row r="30" ht="15.75" customHeight="1">
      <c r="B30" s="70">
        <v>22.0</v>
      </c>
      <c r="C30" s="71" t="s">
        <v>105</v>
      </c>
      <c r="D30" s="76" t="s">
        <v>81</v>
      </c>
      <c r="E30" s="76" t="s">
        <v>114</v>
      </c>
      <c r="F30" s="80" t="s">
        <v>115</v>
      </c>
      <c r="G30" s="75"/>
      <c r="H30" s="73">
        <v>5.0</v>
      </c>
    </row>
    <row r="31" ht="15.75" customHeight="1">
      <c r="B31" s="70">
        <v>23.0</v>
      </c>
      <c r="C31" s="71" t="s">
        <v>105</v>
      </c>
      <c r="D31" s="76" t="s">
        <v>81</v>
      </c>
      <c r="E31" s="76" t="s">
        <v>114</v>
      </c>
      <c r="F31" s="80" t="s">
        <v>116</v>
      </c>
      <c r="G31" s="75"/>
      <c r="H31" s="73">
        <v>5.0</v>
      </c>
    </row>
    <row r="32" ht="15.75" customHeight="1">
      <c r="B32" s="70">
        <v>24.0</v>
      </c>
      <c r="C32" s="71" t="s">
        <v>105</v>
      </c>
      <c r="D32" s="76" t="s">
        <v>81</v>
      </c>
      <c r="E32" s="76" t="s">
        <v>114</v>
      </c>
      <c r="F32" s="80" t="s">
        <v>117</v>
      </c>
      <c r="G32" s="75"/>
      <c r="H32" s="73">
        <v>5.0</v>
      </c>
    </row>
    <row r="33" ht="15.75" customHeight="1">
      <c r="B33" s="70">
        <v>25.0</v>
      </c>
      <c r="C33" s="71" t="s">
        <v>105</v>
      </c>
      <c r="D33" s="76" t="s">
        <v>81</v>
      </c>
      <c r="E33" s="76" t="s">
        <v>114</v>
      </c>
      <c r="F33" s="80" t="s">
        <v>118</v>
      </c>
      <c r="G33" s="75"/>
      <c r="H33" s="73">
        <v>5.0</v>
      </c>
    </row>
    <row r="34" ht="15.75" customHeight="1">
      <c r="B34" s="70">
        <v>26.0</v>
      </c>
      <c r="C34" s="71" t="s">
        <v>105</v>
      </c>
      <c r="D34" s="76" t="s">
        <v>81</v>
      </c>
      <c r="E34" s="76" t="s">
        <v>114</v>
      </c>
      <c r="F34" s="80" t="s">
        <v>119</v>
      </c>
      <c r="G34" s="75"/>
      <c r="H34" s="73">
        <v>5.0</v>
      </c>
    </row>
    <row r="35" ht="15.75" customHeight="1">
      <c r="B35" s="70">
        <v>27.0</v>
      </c>
      <c r="C35" s="71" t="s">
        <v>105</v>
      </c>
      <c r="D35" s="76" t="s">
        <v>81</v>
      </c>
      <c r="E35" s="76" t="s">
        <v>114</v>
      </c>
      <c r="F35" s="80" t="s">
        <v>120</v>
      </c>
      <c r="G35" s="75"/>
      <c r="H35" s="73">
        <v>5.0</v>
      </c>
    </row>
    <row r="36" ht="15.75" customHeight="1">
      <c r="B36" s="70">
        <v>28.0</v>
      </c>
      <c r="C36" s="71" t="s">
        <v>105</v>
      </c>
      <c r="D36" s="76" t="s">
        <v>81</v>
      </c>
      <c r="E36" s="76" t="s">
        <v>114</v>
      </c>
      <c r="F36" s="80" t="s">
        <v>121</v>
      </c>
      <c r="G36" s="75"/>
      <c r="H36" s="73">
        <v>5.0</v>
      </c>
    </row>
    <row r="37" ht="15.75" customHeight="1">
      <c r="B37" s="70">
        <v>29.0</v>
      </c>
      <c r="C37" s="81" t="s">
        <v>122</v>
      </c>
      <c r="D37" s="76" t="s">
        <v>123</v>
      </c>
      <c r="E37" s="76" t="s">
        <v>124</v>
      </c>
      <c r="F37" s="76" t="s">
        <v>125</v>
      </c>
      <c r="G37" s="75"/>
      <c r="H37" s="73">
        <v>6.0</v>
      </c>
    </row>
    <row r="38" ht="15.75" customHeight="1">
      <c r="B38" s="70">
        <v>30.0</v>
      </c>
      <c r="C38" s="81" t="s">
        <v>122</v>
      </c>
      <c r="D38" s="76" t="s">
        <v>123</v>
      </c>
      <c r="E38" s="76" t="s">
        <v>124</v>
      </c>
      <c r="F38" s="76" t="s">
        <v>126</v>
      </c>
      <c r="G38" s="75"/>
      <c r="H38" s="73">
        <v>6.0</v>
      </c>
    </row>
    <row r="39" ht="15.75" customHeight="1">
      <c r="B39" s="70">
        <v>31.0</v>
      </c>
      <c r="C39" s="81" t="s">
        <v>122</v>
      </c>
      <c r="D39" s="76" t="s">
        <v>123</v>
      </c>
      <c r="E39" s="76" t="s">
        <v>127</v>
      </c>
      <c r="F39" s="76" t="s">
        <v>128</v>
      </c>
      <c r="G39" s="75"/>
      <c r="H39" s="73">
        <v>6.0</v>
      </c>
    </row>
    <row r="40" ht="15.75" customHeight="1">
      <c r="B40" s="70">
        <v>32.0</v>
      </c>
      <c r="C40" s="81" t="s">
        <v>122</v>
      </c>
      <c r="D40" s="76" t="s">
        <v>123</v>
      </c>
      <c r="E40" s="76" t="s">
        <v>127</v>
      </c>
      <c r="F40" s="76" t="s">
        <v>129</v>
      </c>
      <c r="G40" s="75"/>
      <c r="H40" s="73">
        <v>6.0</v>
      </c>
    </row>
    <row r="41" ht="15.75" customHeight="1">
      <c r="B41" s="70">
        <v>33.0</v>
      </c>
      <c r="C41" s="81" t="s">
        <v>122</v>
      </c>
      <c r="D41" s="76" t="s">
        <v>123</v>
      </c>
      <c r="E41" s="76" t="s">
        <v>127</v>
      </c>
      <c r="F41" s="76" t="s">
        <v>130</v>
      </c>
      <c r="G41" s="75"/>
      <c r="H41" s="73">
        <v>6.0</v>
      </c>
    </row>
    <row r="42" ht="15.75" customHeight="1">
      <c r="B42" s="70">
        <v>34.0</v>
      </c>
      <c r="C42" s="81" t="s">
        <v>122</v>
      </c>
      <c r="D42" s="76" t="s">
        <v>123</v>
      </c>
      <c r="E42" s="76" t="s">
        <v>127</v>
      </c>
      <c r="F42" s="76" t="s">
        <v>131</v>
      </c>
      <c r="G42" s="75"/>
      <c r="H42" s="73">
        <v>6.0</v>
      </c>
    </row>
    <row r="43" ht="15.75" customHeight="1">
      <c r="B43" s="70">
        <v>35.0</v>
      </c>
      <c r="C43" s="81" t="s">
        <v>122</v>
      </c>
      <c r="D43" s="76" t="s">
        <v>123</v>
      </c>
      <c r="E43" s="76" t="s">
        <v>127</v>
      </c>
      <c r="F43" s="76" t="s">
        <v>131</v>
      </c>
      <c r="G43" s="75"/>
      <c r="H43" s="73">
        <v>6.0</v>
      </c>
    </row>
    <row r="44" ht="15.75" customHeight="1">
      <c r="B44" s="70">
        <v>36.0</v>
      </c>
      <c r="C44" s="81" t="s">
        <v>122</v>
      </c>
      <c r="D44" s="76" t="s">
        <v>123</v>
      </c>
      <c r="E44" s="76" t="s">
        <v>132</v>
      </c>
      <c r="F44" s="76" t="s">
        <v>133</v>
      </c>
      <c r="G44" s="75"/>
      <c r="H44" s="73">
        <v>7.0</v>
      </c>
    </row>
    <row r="45" ht="15.75" customHeight="1">
      <c r="B45" s="70">
        <v>37.0</v>
      </c>
      <c r="C45" s="81" t="s">
        <v>122</v>
      </c>
      <c r="D45" s="76" t="s">
        <v>123</v>
      </c>
      <c r="E45" s="76" t="s">
        <v>132</v>
      </c>
      <c r="F45" s="76" t="s">
        <v>134</v>
      </c>
      <c r="G45" s="75"/>
      <c r="H45" s="73">
        <v>7.0</v>
      </c>
    </row>
    <row r="46" ht="15.75" customHeight="1">
      <c r="B46" s="70">
        <v>38.0</v>
      </c>
      <c r="C46" s="81" t="s">
        <v>122</v>
      </c>
      <c r="D46" s="76" t="s">
        <v>123</v>
      </c>
      <c r="E46" s="76" t="s">
        <v>132</v>
      </c>
      <c r="F46" s="76" t="s">
        <v>135</v>
      </c>
      <c r="G46" s="75"/>
      <c r="H46" s="73">
        <v>7.0</v>
      </c>
    </row>
    <row r="47" ht="15.75" customHeight="1">
      <c r="B47" s="70">
        <v>39.0</v>
      </c>
      <c r="C47" s="81" t="s">
        <v>122</v>
      </c>
      <c r="D47" s="76" t="s">
        <v>123</v>
      </c>
      <c r="E47" s="76" t="s">
        <v>136</v>
      </c>
      <c r="F47" s="76" t="s">
        <v>137</v>
      </c>
      <c r="G47" s="75"/>
      <c r="H47" s="73">
        <v>7.0</v>
      </c>
    </row>
    <row r="48" ht="15.75" customHeight="1">
      <c r="B48" s="70">
        <v>40.0</v>
      </c>
      <c r="C48" s="81" t="s">
        <v>122</v>
      </c>
      <c r="D48" s="76" t="s">
        <v>123</v>
      </c>
      <c r="E48" s="76" t="s">
        <v>136</v>
      </c>
      <c r="F48" s="76" t="s">
        <v>138</v>
      </c>
      <c r="G48" s="75"/>
      <c r="H48" s="73">
        <v>7.0</v>
      </c>
    </row>
    <row r="49" ht="15.75" customHeight="1">
      <c r="B49" s="70">
        <v>41.0</v>
      </c>
      <c r="C49" s="81" t="s">
        <v>122</v>
      </c>
      <c r="D49" s="76" t="s">
        <v>123</v>
      </c>
      <c r="E49" s="76" t="s">
        <v>136</v>
      </c>
      <c r="F49" s="76" t="s">
        <v>139</v>
      </c>
      <c r="G49" s="75"/>
      <c r="H49" s="73">
        <v>7.0</v>
      </c>
    </row>
    <row r="50" ht="15.75" customHeight="1">
      <c r="B50" s="70">
        <v>42.0</v>
      </c>
      <c r="C50" s="81" t="s">
        <v>122</v>
      </c>
      <c r="D50" s="76" t="s">
        <v>123</v>
      </c>
      <c r="E50" s="76" t="s">
        <v>140</v>
      </c>
      <c r="F50" s="76" t="s">
        <v>141</v>
      </c>
      <c r="G50" s="75"/>
      <c r="H50" s="73">
        <v>7.0</v>
      </c>
    </row>
    <row r="51" ht="15.75" customHeight="1">
      <c r="B51" s="70">
        <v>43.0</v>
      </c>
      <c r="C51" s="81" t="s">
        <v>142</v>
      </c>
      <c r="D51" s="76" t="s">
        <v>143</v>
      </c>
      <c r="E51" s="76" t="s">
        <v>144</v>
      </c>
      <c r="F51" s="76" t="s">
        <v>145</v>
      </c>
      <c r="G51" s="75"/>
      <c r="H51" s="73">
        <v>8.0</v>
      </c>
    </row>
    <row r="52" ht="15.75" customHeight="1">
      <c r="B52" s="70">
        <v>44.0</v>
      </c>
      <c r="C52" s="81" t="s">
        <v>142</v>
      </c>
      <c r="D52" s="76" t="s">
        <v>143</v>
      </c>
      <c r="E52" s="76" t="s">
        <v>144</v>
      </c>
      <c r="F52" s="76" t="s">
        <v>146</v>
      </c>
      <c r="G52" s="75"/>
      <c r="H52" s="73">
        <v>8.0</v>
      </c>
    </row>
    <row r="53" ht="15.75" customHeight="1">
      <c r="B53" s="70">
        <v>45.0</v>
      </c>
      <c r="C53" s="81" t="s">
        <v>142</v>
      </c>
      <c r="D53" s="76" t="s">
        <v>143</v>
      </c>
      <c r="E53" s="76" t="s">
        <v>144</v>
      </c>
      <c r="F53" s="76" t="s">
        <v>147</v>
      </c>
      <c r="G53" s="75"/>
      <c r="H53" s="73">
        <v>8.0</v>
      </c>
    </row>
    <row r="54" ht="15.75" customHeight="1">
      <c r="B54" s="70">
        <v>46.0</v>
      </c>
      <c r="C54" s="81" t="s">
        <v>142</v>
      </c>
      <c r="D54" s="76" t="s">
        <v>143</v>
      </c>
      <c r="E54" s="76" t="s">
        <v>144</v>
      </c>
      <c r="F54" s="76" t="s">
        <v>148</v>
      </c>
      <c r="G54" s="75"/>
      <c r="H54" s="73">
        <v>8.0</v>
      </c>
    </row>
    <row r="55" ht="15.75" customHeight="1">
      <c r="B55" s="70">
        <v>47.0</v>
      </c>
      <c r="C55" s="81" t="s">
        <v>142</v>
      </c>
      <c r="D55" s="76" t="s">
        <v>143</v>
      </c>
      <c r="E55" s="76" t="s">
        <v>144</v>
      </c>
      <c r="F55" s="76" t="s">
        <v>149</v>
      </c>
      <c r="G55" s="75"/>
      <c r="H55" s="73">
        <v>8.0</v>
      </c>
    </row>
    <row r="56" ht="15.75" customHeight="1">
      <c r="B56" s="70">
        <v>48.0</v>
      </c>
      <c r="C56" s="81" t="s">
        <v>142</v>
      </c>
      <c r="D56" s="76" t="s">
        <v>143</v>
      </c>
      <c r="E56" s="76" t="s">
        <v>144</v>
      </c>
      <c r="F56" s="76" t="s">
        <v>150</v>
      </c>
      <c r="G56" s="75"/>
      <c r="H56" s="73">
        <v>8.0</v>
      </c>
    </row>
    <row r="57" ht="15.75" customHeight="1">
      <c r="B57" s="70">
        <v>49.0</v>
      </c>
      <c r="C57" s="81" t="s">
        <v>142</v>
      </c>
      <c r="D57" s="76" t="s">
        <v>143</v>
      </c>
      <c r="E57" s="76" t="s">
        <v>144</v>
      </c>
      <c r="F57" s="76" t="s">
        <v>151</v>
      </c>
      <c r="G57" s="75"/>
      <c r="H57" s="73">
        <v>8.0</v>
      </c>
    </row>
    <row r="58" ht="15.75" customHeight="1">
      <c r="B58" s="70">
        <v>50.0</v>
      </c>
      <c r="C58" s="81" t="s">
        <v>152</v>
      </c>
      <c r="D58" s="76" t="s">
        <v>143</v>
      </c>
      <c r="E58" s="76" t="s">
        <v>153</v>
      </c>
      <c r="F58" s="76" t="s">
        <v>154</v>
      </c>
      <c r="G58" s="75"/>
      <c r="H58" s="73">
        <v>9.0</v>
      </c>
    </row>
    <row r="59" ht="15.75" customHeight="1">
      <c r="B59" s="70">
        <v>51.0</v>
      </c>
      <c r="C59" s="81" t="s">
        <v>152</v>
      </c>
      <c r="D59" s="76" t="s">
        <v>143</v>
      </c>
      <c r="E59" s="76" t="s">
        <v>153</v>
      </c>
      <c r="F59" s="76" t="s">
        <v>155</v>
      </c>
      <c r="G59" s="75"/>
      <c r="H59" s="73">
        <v>9.0</v>
      </c>
    </row>
    <row r="60" ht="15.75" customHeight="1">
      <c r="B60" s="70">
        <v>52.0</v>
      </c>
      <c r="C60" s="81" t="s">
        <v>152</v>
      </c>
      <c r="D60" s="76" t="s">
        <v>143</v>
      </c>
      <c r="E60" s="76" t="s">
        <v>153</v>
      </c>
      <c r="F60" s="76" t="s">
        <v>156</v>
      </c>
      <c r="G60" s="75"/>
      <c r="H60" s="73">
        <v>9.0</v>
      </c>
    </row>
    <row r="61" ht="15.75" customHeight="1">
      <c r="B61" s="70">
        <v>53.0</v>
      </c>
      <c r="C61" s="81" t="s">
        <v>152</v>
      </c>
      <c r="D61" s="76" t="s">
        <v>143</v>
      </c>
      <c r="E61" s="76" t="s">
        <v>153</v>
      </c>
      <c r="F61" s="76" t="s">
        <v>157</v>
      </c>
      <c r="G61" s="75"/>
      <c r="H61" s="73">
        <v>9.0</v>
      </c>
    </row>
    <row r="62" ht="15.75" customHeight="1">
      <c r="B62" s="70">
        <v>54.0</v>
      </c>
      <c r="C62" s="81" t="s">
        <v>152</v>
      </c>
      <c r="D62" s="76" t="s">
        <v>143</v>
      </c>
      <c r="E62" s="76" t="s">
        <v>153</v>
      </c>
      <c r="F62" s="76" t="s">
        <v>158</v>
      </c>
      <c r="G62" s="75"/>
      <c r="H62" s="73">
        <v>9.0</v>
      </c>
    </row>
    <row r="63" ht="15.75" customHeight="1">
      <c r="B63" s="70">
        <v>55.0</v>
      </c>
      <c r="C63" s="81" t="s">
        <v>152</v>
      </c>
      <c r="D63" s="76" t="s">
        <v>143</v>
      </c>
      <c r="E63" s="76" t="s">
        <v>153</v>
      </c>
      <c r="F63" s="76" t="s">
        <v>159</v>
      </c>
      <c r="G63" s="75"/>
      <c r="H63" s="73">
        <v>9.0</v>
      </c>
    </row>
    <row r="64" ht="15.75" customHeight="1">
      <c r="B64" s="70">
        <v>56.0</v>
      </c>
      <c r="C64" s="81" t="s">
        <v>152</v>
      </c>
      <c r="D64" s="76" t="s">
        <v>143</v>
      </c>
      <c r="E64" s="76" t="s">
        <v>153</v>
      </c>
      <c r="F64" s="76" t="s">
        <v>160</v>
      </c>
      <c r="G64" s="75"/>
      <c r="H64" s="73">
        <v>9.0</v>
      </c>
    </row>
    <row r="65" ht="15.75" customHeight="1">
      <c r="B65" s="70">
        <v>57.0</v>
      </c>
      <c r="C65" s="81" t="s">
        <v>152</v>
      </c>
      <c r="D65" s="76" t="s">
        <v>143</v>
      </c>
      <c r="E65" s="76" t="s">
        <v>153</v>
      </c>
      <c r="F65" s="76" t="s">
        <v>161</v>
      </c>
      <c r="G65" s="75"/>
      <c r="H65" s="73">
        <v>10.0</v>
      </c>
    </row>
    <row r="66" ht="15.75" customHeight="1">
      <c r="B66" s="70">
        <v>58.0</v>
      </c>
      <c r="C66" s="81" t="s">
        <v>152</v>
      </c>
      <c r="D66" s="76" t="s">
        <v>143</v>
      </c>
      <c r="E66" s="76" t="s">
        <v>153</v>
      </c>
      <c r="F66" s="76" t="s">
        <v>162</v>
      </c>
      <c r="G66" s="75"/>
      <c r="H66" s="73">
        <v>10.0</v>
      </c>
    </row>
    <row r="67" ht="15.75" customHeight="1">
      <c r="B67" s="70">
        <v>59.0</v>
      </c>
      <c r="C67" s="81" t="s">
        <v>152</v>
      </c>
      <c r="D67" s="76" t="s">
        <v>143</v>
      </c>
      <c r="E67" s="76" t="s">
        <v>153</v>
      </c>
      <c r="F67" s="76" t="s">
        <v>163</v>
      </c>
      <c r="G67" s="75"/>
      <c r="H67" s="73">
        <v>10.0</v>
      </c>
    </row>
    <row r="68" ht="15.75" customHeight="1">
      <c r="B68" s="70">
        <v>60.0</v>
      </c>
      <c r="C68" s="81" t="s">
        <v>152</v>
      </c>
      <c r="D68" s="76" t="s">
        <v>143</v>
      </c>
      <c r="E68" s="76" t="s">
        <v>153</v>
      </c>
      <c r="F68" s="76" t="s">
        <v>164</v>
      </c>
      <c r="G68" s="75"/>
      <c r="H68" s="73">
        <v>10.0</v>
      </c>
    </row>
    <row r="69" ht="15.75" customHeight="1">
      <c r="B69" s="70">
        <v>61.0</v>
      </c>
      <c r="C69" s="81" t="s">
        <v>152</v>
      </c>
      <c r="D69" s="76" t="s">
        <v>143</v>
      </c>
      <c r="E69" s="76" t="s">
        <v>153</v>
      </c>
      <c r="F69" s="76" t="s">
        <v>165</v>
      </c>
      <c r="G69" s="75"/>
      <c r="H69" s="73">
        <v>10.0</v>
      </c>
    </row>
    <row r="70" ht="15.75" customHeight="1">
      <c r="B70" s="70">
        <v>62.0</v>
      </c>
      <c r="C70" s="81" t="s">
        <v>152</v>
      </c>
      <c r="D70" s="76" t="s">
        <v>143</v>
      </c>
      <c r="E70" s="76" t="s">
        <v>153</v>
      </c>
      <c r="F70" s="76" t="s">
        <v>166</v>
      </c>
      <c r="G70" s="75"/>
      <c r="H70" s="73">
        <v>10.0</v>
      </c>
    </row>
    <row r="71" ht="15.75" customHeight="1">
      <c r="B71" s="70">
        <v>63.0</v>
      </c>
      <c r="C71" s="81" t="s">
        <v>152</v>
      </c>
      <c r="D71" s="76" t="s">
        <v>143</v>
      </c>
      <c r="E71" s="76" t="s">
        <v>153</v>
      </c>
      <c r="F71" s="76" t="s">
        <v>167</v>
      </c>
      <c r="G71" s="75"/>
      <c r="H71" s="73">
        <v>10.0</v>
      </c>
    </row>
    <row r="72" ht="15.75" customHeight="1">
      <c r="B72" s="70">
        <v>64.0</v>
      </c>
      <c r="C72" s="81" t="s">
        <v>152</v>
      </c>
      <c r="D72" s="76" t="s">
        <v>143</v>
      </c>
      <c r="E72" s="76" t="s">
        <v>153</v>
      </c>
      <c r="F72" s="82" t="s">
        <v>168</v>
      </c>
      <c r="G72" s="75"/>
      <c r="H72" s="73">
        <v>11.0</v>
      </c>
    </row>
    <row r="73" ht="15.75" customHeight="1">
      <c r="B73" s="70">
        <v>65.0</v>
      </c>
      <c r="C73" s="81" t="s">
        <v>152</v>
      </c>
      <c r="D73" s="76" t="s">
        <v>143</v>
      </c>
      <c r="E73" s="76" t="s">
        <v>153</v>
      </c>
      <c r="F73" s="82" t="s">
        <v>169</v>
      </c>
      <c r="G73" s="75"/>
      <c r="H73" s="73">
        <v>11.0</v>
      </c>
    </row>
    <row r="74" ht="15.75" customHeight="1">
      <c r="B74" s="70">
        <v>66.0</v>
      </c>
      <c r="C74" s="81" t="s">
        <v>152</v>
      </c>
      <c r="D74" s="76" t="s">
        <v>143</v>
      </c>
      <c r="E74" s="76" t="s">
        <v>153</v>
      </c>
      <c r="F74" s="82" t="s">
        <v>170</v>
      </c>
      <c r="G74" s="75"/>
      <c r="H74" s="73">
        <v>11.0</v>
      </c>
    </row>
    <row r="75" ht="15.75" customHeight="1">
      <c r="B75" s="70">
        <v>67.0</v>
      </c>
      <c r="C75" s="81" t="s">
        <v>152</v>
      </c>
      <c r="D75" s="76" t="s">
        <v>143</v>
      </c>
      <c r="E75" s="76" t="s">
        <v>153</v>
      </c>
      <c r="F75" s="82" t="s">
        <v>171</v>
      </c>
      <c r="G75" s="75"/>
      <c r="H75" s="73">
        <v>11.0</v>
      </c>
    </row>
    <row r="76" ht="15.75" customHeight="1">
      <c r="B76" s="70">
        <v>68.0</v>
      </c>
      <c r="C76" s="81" t="s">
        <v>152</v>
      </c>
      <c r="D76" s="76" t="s">
        <v>143</v>
      </c>
      <c r="E76" s="76" t="s">
        <v>153</v>
      </c>
      <c r="F76" s="82" t="s">
        <v>172</v>
      </c>
      <c r="G76" s="75"/>
      <c r="H76" s="73">
        <v>11.0</v>
      </c>
    </row>
    <row r="77" ht="15.75" customHeight="1">
      <c r="B77" s="70">
        <v>69.0</v>
      </c>
      <c r="C77" s="81" t="s">
        <v>152</v>
      </c>
      <c r="D77" s="76" t="s">
        <v>143</v>
      </c>
      <c r="E77" s="76" t="s">
        <v>153</v>
      </c>
      <c r="F77" s="82" t="s">
        <v>173</v>
      </c>
      <c r="G77" s="75"/>
      <c r="H77" s="73">
        <v>11.0</v>
      </c>
    </row>
    <row r="78" ht="15.75" customHeight="1">
      <c r="B78" s="70">
        <v>70.0</v>
      </c>
      <c r="C78" s="81" t="s">
        <v>152</v>
      </c>
      <c r="D78" s="76" t="s">
        <v>143</v>
      </c>
      <c r="E78" s="76" t="s">
        <v>153</v>
      </c>
      <c r="F78" s="82" t="s">
        <v>174</v>
      </c>
      <c r="G78" s="75"/>
      <c r="H78" s="73">
        <v>11.0</v>
      </c>
    </row>
    <row r="79" ht="15.75" customHeight="1">
      <c r="B79" s="6"/>
      <c r="C79" s="1"/>
      <c r="H79" s="6"/>
    </row>
    <row r="80" ht="15.75" customHeight="1">
      <c r="B80" s="6"/>
      <c r="C80" s="1"/>
      <c r="H80" s="6"/>
    </row>
    <row r="81" ht="15.75" customHeight="1">
      <c r="B81" s="6"/>
      <c r="C81" s="1"/>
      <c r="H81" s="6"/>
    </row>
    <row r="82" ht="15.75" customHeight="1">
      <c r="B82" s="6"/>
      <c r="C82" s="1"/>
      <c r="H82" s="6"/>
    </row>
    <row r="83" ht="15.75" customHeight="1">
      <c r="B83" s="6"/>
      <c r="C83" s="1"/>
      <c r="H83" s="6"/>
    </row>
    <row r="84" ht="15.75" customHeight="1">
      <c r="B84" s="6"/>
      <c r="C84" s="1"/>
      <c r="H84" s="6"/>
    </row>
    <row r="85" ht="15.75" customHeight="1">
      <c r="B85" s="6"/>
      <c r="C85" s="1"/>
      <c r="H85" s="6"/>
    </row>
    <row r="86" ht="15.75" customHeight="1">
      <c r="B86" s="6"/>
      <c r="C86" s="1"/>
      <c r="H86" s="6"/>
    </row>
    <row r="87" ht="15.75" customHeight="1">
      <c r="B87" s="6"/>
      <c r="C87" s="1"/>
      <c r="H87" s="6"/>
    </row>
    <row r="88" ht="15.75" customHeight="1">
      <c r="B88" s="6"/>
      <c r="C88" s="1"/>
      <c r="H88" s="6"/>
    </row>
    <row r="89" ht="15.75" customHeight="1">
      <c r="B89" s="6"/>
      <c r="C89" s="1"/>
      <c r="H89" s="6"/>
    </row>
    <row r="90" ht="15.75" customHeight="1">
      <c r="B90" s="6"/>
      <c r="C90" s="1"/>
      <c r="H90" s="6"/>
    </row>
    <row r="91" ht="15.75" customHeight="1">
      <c r="B91" s="6"/>
      <c r="C91" s="1"/>
      <c r="H91" s="6"/>
    </row>
    <row r="92" ht="15.75" customHeight="1">
      <c r="B92" s="6"/>
      <c r="C92" s="1"/>
    </row>
    <row r="93" ht="15.75" customHeight="1">
      <c r="B93" s="6"/>
      <c r="C93" s="1"/>
    </row>
    <row r="94" ht="15.75" customHeight="1">
      <c r="B94" s="6"/>
      <c r="C94" s="1"/>
    </row>
    <row r="95" ht="15.75" customHeight="1">
      <c r="B95" s="6"/>
      <c r="C95" s="1"/>
    </row>
    <row r="96" ht="15.75" customHeight="1">
      <c r="B96" s="6"/>
      <c r="C96" s="1"/>
    </row>
    <row r="97" ht="15.75" customHeight="1">
      <c r="B97" s="6"/>
      <c r="C97" s="1"/>
    </row>
    <row r="98" ht="15.75" customHeight="1">
      <c r="C98" s="1"/>
    </row>
    <row r="99" ht="15.75" customHeight="1">
      <c r="C99" s="1"/>
    </row>
    <row r="100" ht="15.75" customHeight="1">
      <c r="C100" s="1"/>
    </row>
    <row r="101" ht="15.75" customHeight="1">
      <c r="C101" s="1"/>
    </row>
    <row r="102" ht="15.75" customHeight="1">
      <c r="C102" s="1"/>
    </row>
    <row r="103" ht="15.75" customHeight="1">
      <c r="C103" s="1"/>
    </row>
    <row r="104" ht="15.75" customHeight="1">
      <c r="C104" s="1"/>
    </row>
    <row r="105" ht="15.75" customHeight="1">
      <c r="C105" s="1"/>
    </row>
    <row r="106" ht="15.75" customHeight="1">
      <c r="C106" s="1"/>
    </row>
    <row r="107" ht="15.75" customHeight="1">
      <c r="C107" s="1"/>
    </row>
    <row r="108" ht="15.75" customHeight="1">
      <c r="C108" s="1"/>
    </row>
    <row r="109" ht="15.75" customHeight="1">
      <c r="C109" s="1"/>
    </row>
    <row r="110" ht="15.75" customHeight="1">
      <c r="C110" s="1"/>
    </row>
    <row r="111" ht="15.75" customHeight="1">
      <c r="C111" s="1"/>
    </row>
    <row r="112" ht="15.75" customHeight="1">
      <c r="C112" s="1"/>
    </row>
    <row r="113" ht="15.75" customHeight="1">
      <c r="C113" s="1"/>
    </row>
    <row r="114" ht="15.75" customHeight="1">
      <c r="C114" s="1"/>
    </row>
    <row r="115" ht="15.75" customHeight="1">
      <c r="C115" s="1"/>
    </row>
    <row r="116" ht="15.75" customHeight="1">
      <c r="C116" s="1"/>
    </row>
    <row r="117" ht="15.75" customHeight="1">
      <c r="C117" s="1"/>
    </row>
    <row r="118" ht="15.75" customHeight="1">
      <c r="C118" s="1"/>
    </row>
    <row r="119" ht="15.75" customHeight="1">
      <c r="C119" s="1"/>
    </row>
    <row r="120" ht="15.75" customHeight="1">
      <c r="C120" s="1"/>
    </row>
    <row r="121" ht="15.75" customHeight="1">
      <c r="C121" s="1"/>
    </row>
    <row r="122" ht="15.75" customHeight="1">
      <c r="C122" s="1"/>
    </row>
    <row r="123" ht="15.75" customHeight="1">
      <c r="C123" s="1"/>
    </row>
    <row r="124" ht="15.75" customHeight="1">
      <c r="C124" s="1"/>
    </row>
    <row r="125" ht="15.75" customHeight="1">
      <c r="C125" s="1"/>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3">
    <mergeCell ref="B2:H2"/>
    <mergeCell ref="C4:H4"/>
    <mergeCell ref="C5:H5"/>
  </mergeCells>
  <dataValidations>
    <dataValidation type="list" allowBlank="1" showErrorMessage="1" sqref="C4">
      <formula1>Metadata!$A$2:$A$81</formula1>
    </dataValidation>
    <dataValidation type="list" allowBlank="1" showErrorMessage="1" sqref="C9:C97">
      <formula1>Metadata!$B$2:$B$12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 customWidth="1" min="8" max="8" width="2.88"/>
  </cols>
  <sheetData>
    <row r="1" ht="15.75" customHeight="1"/>
    <row r="2" ht="15.75" customHeight="1">
      <c r="B2" s="67" t="s">
        <v>71</v>
      </c>
    </row>
    <row r="3" ht="15.75" customHeight="1"/>
    <row r="4" ht="15.75" customHeight="1">
      <c r="B4" s="83" t="s">
        <v>1</v>
      </c>
      <c r="C4" s="84" t="str">
        <f>'Diseño'!C4</f>
        <v>667 - Programacion Comercial 1</v>
      </c>
      <c r="D4" s="35"/>
      <c r="E4" s="35"/>
      <c r="F4" s="35"/>
      <c r="G4" s="36"/>
    </row>
    <row r="5" ht="15.75" customHeight="1">
      <c r="B5" s="70" t="s">
        <v>79</v>
      </c>
      <c r="C5" s="84">
        <v>1.0</v>
      </c>
      <c r="D5" s="35"/>
      <c r="E5" s="35"/>
      <c r="F5" s="35"/>
      <c r="G5" s="36"/>
    </row>
    <row r="6" ht="15.75" customHeight="1">
      <c r="B6" s="70" t="s">
        <v>175</v>
      </c>
      <c r="C6" s="84">
        <f>B15+B22+B29+B41+B47+C48</f>
        <v>125</v>
      </c>
      <c r="D6" s="35"/>
      <c r="E6" s="35"/>
      <c r="F6" s="35"/>
      <c r="G6" s="36"/>
    </row>
    <row r="7" ht="15.75" customHeight="1"/>
    <row r="8" ht="15.75" customHeight="1">
      <c r="K8" s="85" t="s">
        <v>176</v>
      </c>
    </row>
    <row r="9" ht="15.75" customHeight="1">
      <c r="A9" s="86" t="s">
        <v>177</v>
      </c>
      <c r="G9" s="87" t="s">
        <v>178</v>
      </c>
      <c r="H9" s="88">
        <f>B15</f>
        <v>15</v>
      </c>
    </row>
    <row r="10" ht="15.75" customHeight="1">
      <c r="G10" s="89" t="s">
        <v>179</v>
      </c>
    </row>
    <row r="11" ht="24.75" customHeight="1">
      <c r="A11" s="90" t="s">
        <v>180</v>
      </c>
      <c r="B11" s="91" t="s">
        <v>181</v>
      </c>
      <c r="C11" s="35"/>
      <c r="D11" s="35"/>
      <c r="E11" s="35"/>
      <c r="F11" s="35"/>
      <c r="G11" s="35"/>
      <c r="H11" s="36"/>
    </row>
    <row r="12">
      <c r="A12" s="90" t="s">
        <v>182</v>
      </c>
      <c r="B12" s="91" t="s">
        <v>183</v>
      </c>
      <c r="C12" s="35"/>
      <c r="D12" s="35"/>
      <c r="E12" s="35"/>
      <c r="F12" s="35"/>
      <c r="G12" s="35"/>
      <c r="H12" s="36"/>
    </row>
    <row r="13">
      <c r="A13" s="92" t="s">
        <v>184</v>
      </c>
      <c r="B13" s="91" t="s">
        <v>185</v>
      </c>
      <c r="C13" s="35"/>
      <c r="D13" s="35"/>
      <c r="E13" s="35"/>
      <c r="F13" s="35"/>
      <c r="G13" s="35"/>
      <c r="H13" s="36"/>
    </row>
    <row r="14">
      <c r="A14" s="92" t="s">
        <v>186</v>
      </c>
      <c r="B14" s="91" t="s">
        <v>187</v>
      </c>
      <c r="C14" s="35"/>
      <c r="D14" s="35"/>
      <c r="E14" s="35"/>
      <c r="F14" s="35"/>
      <c r="G14" s="35"/>
      <c r="H14" s="36"/>
    </row>
    <row r="15" ht="15.75" customHeight="1">
      <c r="A15" s="93" t="s">
        <v>188</v>
      </c>
      <c r="B15" s="94">
        <v>15.0</v>
      </c>
      <c r="C15" s="35"/>
      <c r="D15" s="35"/>
      <c r="E15" s="35"/>
      <c r="F15" s="35"/>
      <c r="G15" s="35"/>
      <c r="H15" s="36"/>
    </row>
    <row r="16" ht="15.75" customHeight="1"/>
    <row r="17" ht="15.75" customHeight="1"/>
    <row r="18" ht="15.75" customHeight="1">
      <c r="A18" s="95" t="s">
        <v>189</v>
      </c>
      <c r="G18" s="87" t="s">
        <v>178</v>
      </c>
      <c r="H18" s="88">
        <f>B22</f>
        <v>45</v>
      </c>
    </row>
    <row r="19" ht="15.75" customHeight="1">
      <c r="G19" s="89" t="s">
        <v>190</v>
      </c>
      <c r="K19" s="85" t="s">
        <v>191</v>
      </c>
    </row>
    <row r="20">
      <c r="A20" s="90" t="s">
        <v>192</v>
      </c>
      <c r="B20" s="96" t="s">
        <v>193</v>
      </c>
      <c r="C20" s="35"/>
      <c r="D20" s="35"/>
      <c r="E20" s="35"/>
      <c r="F20" s="35"/>
      <c r="G20" s="35"/>
      <c r="H20" s="36"/>
    </row>
    <row r="21">
      <c r="A21" s="90" t="s">
        <v>194</v>
      </c>
      <c r="B21" s="96" t="s">
        <v>195</v>
      </c>
      <c r="C21" s="35"/>
      <c r="D21" s="35"/>
      <c r="E21" s="35"/>
      <c r="F21" s="35"/>
      <c r="G21" s="35"/>
      <c r="H21" s="36"/>
    </row>
    <row r="22">
      <c r="A22" s="93" t="s">
        <v>188</v>
      </c>
      <c r="B22" s="97">
        <v>45.0</v>
      </c>
      <c r="C22" s="35"/>
      <c r="D22" s="35"/>
      <c r="E22" s="35"/>
      <c r="F22" s="35"/>
      <c r="G22" s="35"/>
      <c r="H22" s="36"/>
    </row>
    <row r="23" ht="15.75" customHeight="1"/>
    <row r="24" ht="15.75" customHeight="1"/>
    <row r="25" ht="15.75" customHeight="1">
      <c r="A25" s="95" t="s">
        <v>196</v>
      </c>
      <c r="G25" s="98" t="s">
        <v>178</v>
      </c>
      <c r="H25" s="88">
        <f>B29</f>
        <v>30</v>
      </c>
    </row>
    <row r="26" ht="15.75" customHeight="1">
      <c r="G26" s="89" t="s">
        <v>197</v>
      </c>
      <c r="H26" s="89"/>
      <c r="I26" s="89"/>
      <c r="J26" s="89"/>
    </row>
    <row r="27" ht="39.75" customHeight="1">
      <c r="A27" s="90" t="s">
        <v>198</v>
      </c>
      <c r="B27" s="91" t="s">
        <v>199</v>
      </c>
      <c r="C27" s="35"/>
      <c r="D27" s="35"/>
      <c r="E27" s="35"/>
      <c r="F27" s="35"/>
      <c r="G27" s="35"/>
      <c r="H27" s="36"/>
      <c r="K27" s="85" t="s">
        <v>200</v>
      </c>
    </row>
    <row r="28" ht="69.75" customHeight="1">
      <c r="A28" s="90" t="s">
        <v>201</v>
      </c>
      <c r="B28" s="91" t="s">
        <v>202</v>
      </c>
      <c r="C28" s="35"/>
      <c r="D28" s="35"/>
      <c r="E28" s="35"/>
      <c r="F28" s="35"/>
      <c r="G28" s="35"/>
      <c r="H28" s="36"/>
    </row>
    <row r="29" ht="15.75" customHeight="1">
      <c r="A29" s="93" t="s">
        <v>188</v>
      </c>
      <c r="B29" s="97">
        <v>30.0</v>
      </c>
      <c r="C29" s="35"/>
      <c r="D29" s="35"/>
      <c r="E29" s="35"/>
      <c r="F29" s="35"/>
      <c r="G29" s="35"/>
      <c r="H29" s="36"/>
    </row>
    <row r="30" ht="15.75" customHeight="1"/>
    <row r="31" ht="15.75" customHeight="1"/>
    <row r="32" ht="15.75" customHeight="1">
      <c r="A32" s="95" t="s">
        <v>203</v>
      </c>
      <c r="G32" s="98" t="s">
        <v>178</v>
      </c>
      <c r="H32" s="88">
        <f>B36</f>
        <v>5</v>
      </c>
    </row>
    <row r="33" ht="15.75" customHeight="1">
      <c r="A33" s="58" t="s">
        <v>204</v>
      </c>
      <c r="G33" s="58" t="s">
        <v>205</v>
      </c>
    </row>
    <row r="34">
      <c r="A34" s="90" t="s">
        <v>206</v>
      </c>
      <c r="B34" s="99" t="s">
        <v>207</v>
      </c>
      <c r="C34" s="35"/>
      <c r="D34" s="35"/>
      <c r="E34" s="35"/>
      <c r="F34" s="35"/>
      <c r="G34" s="35"/>
      <c r="H34" s="36"/>
      <c r="K34" s="85" t="s">
        <v>208</v>
      </c>
    </row>
    <row r="35">
      <c r="A35" s="90" t="s">
        <v>209</v>
      </c>
      <c r="B35" s="91" t="s">
        <v>210</v>
      </c>
      <c r="C35" s="35"/>
      <c r="D35" s="35"/>
      <c r="E35" s="35"/>
      <c r="F35" s="35"/>
      <c r="G35" s="35"/>
      <c r="H35" s="36"/>
    </row>
    <row r="36" ht="15.75" customHeight="1">
      <c r="A36" s="93" t="s">
        <v>188</v>
      </c>
      <c r="B36" s="97">
        <v>5.0</v>
      </c>
      <c r="C36" s="35"/>
      <c r="D36" s="35"/>
      <c r="E36" s="35"/>
      <c r="F36" s="35"/>
      <c r="G36" s="35"/>
      <c r="H36" s="36"/>
    </row>
    <row r="37" ht="15.75" customHeight="1"/>
    <row r="38" ht="15.75" customHeight="1"/>
    <row r="39" ht="15.75" customHeight="1">
      <c r="A39" s="95" t="s">
        <v>211</v>
      </c>
      <c r="G39" s="98" t="s">
        <v>178</v>
      </c>
      <c r="H39" s="88">
        <f>B41</f>
        <v>20</v>
      </c>
    </row>
    <row r="40" ht="15.75" customHeight="1">
      <c r="G40" s="89" t="s">
        <v>212</v>
      </c>
    </row>
    <row r="41" ht="15.75" customHeight="1">
      <c r="A41" s="93" t="s">
        <v>188</v>
      </c>
      <c r="B41" s="94">
        <v>20.0</v>
      </c>
      <c r="C41" s="35"/>
      <c r="D41" s="35"/>
      <c r="E41" s="35"/>
      <c r="F41" s="35"/>
      <c r="G41" s="35"/>
      <c r="H41" s="36"/>
    </row>
    <row r="42" ht="15.75" customHeight="1"/>
    <row r="43" ht="15.75" customHeight="1"/>
    <row r="44" ht="15.75" customHeight="1">
      <c r="A44" s="95" t="s">
        <v>213</v>
      </c>
      <c r="G44" s="98" t="s">
        <v>178</v>
      </c>
      <c r="H44" s="88" t="str">
        <f>B46</f>
        <v>¿Qué es una base de datos?
R: Es un conjunto organizado de información que se almacena y se puede consultar fácilmente.
¿Qué significa el modelo entidad–relación (E–R)?
R: Es una forma gráfica de representar las entidades, atributos y relaciones de un sistema.
¿Qué diferencia hay entre una entidad y un atributo?
R: Una entidad es un objeto o concepto (ej. Alumno), mientras que un atributo es una característica de la entidad (ej. nombre, edad).
¿Qué es una clave primaria?
R: Es un campo que identifica de manera única cada registro en una tabla.
¿Para qué sirve una relación en un diagrama E–R?
R: Sirve para mostrar cómo se asocian dos o más entidades.
Da un ejemplo de una entidad y sus atributos en un sistema escolar.
R: Entidad: Alumno. Atributos: Carnet, Nombre, Edad, Dirección.
¿Qué es una tabla en una base de datos relacional?
R: Es una estructura que organiza datos en filas (registros) y columnas (campos).
¿Qué diferencia hay entre una clave primaria y una clave foránea?
R: La clave primaria identifica de forma única un registro; la clave foránea enlaza una tabla con otra.
¿Qué tipo de software es Access?
R: Es un sistema de gestión de bases de datos relacional de Microsoft.
¿Para qué sirve un formulario en Access?
R: Para facilitar la entrada y visualización de datos en una tabla.
¿Qué es una consulta en Access?
R: Es una instrucción que permite filtrar, ordenar o combinar datos de una o varias tablas.
¿Qué diferencia hay entre una tabla y un reporte en Access?
R: La tabla almacena los datos; el reporte sirve para presentarlos de manera organizada e imprimible.
¿Para qué sirve Power BI?
R: Para analizar datos y crear reportes y dashboards interactivos.
¿Qué es un dashboard en Power BI?
R: Es un panel con varias visualizaciones que muestran indicadores clave de un conjunto de datos.
¿Qué tipo de fuentes de datos se pueden conectar en Power BI?
R: Archivos (Excel, CSV), bases de datos (SQL Server, Oracle, MySQL), servicios en la nube (Google Analytics, Azure, etc.).
¿Qué diferencia hay entre una tabla de datos y una visualización en Power BI?
R: La tabla de datos muestra la información en crudo, la visualización la presenta de forma gráfica (gráficas, mapas, etc.).
¿Qué es un proyecto?
R: Es un esfuerzo temporal con un objetivo definido y recursos limitados.
¿Qué significa el alcance de un proyecto?
R: Define qué se incluye y qué no se incluye en el trabajo del proyecto.
¿Cuál es la importancia de un cronograma en la gestión de proyectos?
R: Permite planificar y controlar las fechas y tareas del proyecto.
Menciona una herramienta digital que se pueda usar para gestionar proyectos.
R: Ejemplos: Microsoft Project, Trello, Asana, Jira.</v>
      </c>
    </row>
    <row r="45" ht="15.75" customHeight="1">
      <c r="G45" s="89" t="s">
        <v>179</v>
      </c>
    </row>
    <row r="46">
      <c r="A46" s="90" t="s">
        <v>214</v>
      </c>
      <c r="B46" s="91" t="s">
        <v>215</v>
      </c>
      <c r="C46" s="35"/>
      <c r="D46" s="35"/>
      <c r="E46" s="35"/>
      <c r="F46" s="35"/>
      <c r="G46" s="35"/>
      <c r="H46" s="36"/>
    </row>
    <row r="47" ht="15.75" customHeight="1">
      <c r="A47" s="93" t="s">
        <v>188</v>
      </c>
      <c r="B47" s="97">
        <v>15.0</v>
      </c>
      <c r="C47" s="35"/>
      <c r="D47" s="35"/>
      <c r="E47" s="35"/>
      <c r="F47" s="35"/>
      <c r="G47" s="35"/>
      <c r="H47" s="36"/>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hyperlinks>
    <hyperlink r:id="rId2" ref="B34"/>
  </hyperlinks>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216</v>
      </c>
    </row>
    <row r="3" ht="15.75" customHeight="1"/>
    <row r="4" ht="15.75" customHeight="1">
      <c r="B4" s="83" t="s">
        <v>1</v>
      </c>
      <c r="C4" s="100" t="str">
        <f>'Diseño'!C4</f>
        <v>667 - Programacion Comercial 1</v>
      </c>
      <c r="D4" s="35"/>
      <c r="E4" s="35"/>
      <c r="F4" s="35"/>
      <c r="G4" s="36"/>
    </row>
    <row r="5" ht="15.75" customHeight="1">
      <c r="B5" s="70" t="s">
        <v>79</v>
      </c>
      <c r="C5" s="84">
        <v>2.0</v>
      </c>
      <c r="D5" s="35"/>
      <c r="E5" s="35"/>
      <c r="F5" s="35"/>
      <c r="G5" s="36"/>
    </row>
    <row r="6" ht="15.75" customHeight="1">
      <c r="B6" s="101" t="s">
        <v>175</v>
      </c>
      <c r="C6" s="84">
        <f>H10+H21+H44+H68</f>
        <v>105</v>
      </c>
      <c r="D6" s="35"/>
      <c r="E6" s="35"/>
      <c r="F6" s="35"/>
      <c r="G6" s="36"/>
      <c r="I6" s="6"/>
    </row>
    <row r="7" ht="15.75" customHeight="1">
      <c r="B7" s="101" t="s">
        <v>217</v>
      </c>
      <c r="C7" s="84">
        <f>B49+B60</f>
        <v>0</v>
      </c>
      <c r="D7" s="35"/>
      <c r="E7" s="35"/>
      <c r="F7" s="35"/>
      <c r="G7" s="36"/>
    </row>
    <row r="8">
      <c r="B8" s="101" t="s">
        <v>218</v>
      </c>
      <c r="C8" s="102" t="str">
        <f>IF(H44&lt;=0, "❌ ERROR: La Actividad 1 debe tener un tiempo mayor a 0.", IF(H21&gt;60, "❌ ERROR: El 'Área de Conocimiento' no puede exceder los 60 min.", IF((H10+H21+H44)&lt;100, "❌ ERROR: El tiempo total debe ser de al menos 100 min.", "✅ VALIDACIÓN CORRECTA")))</f>
        <v>✅ VALIDACIÓN CORRECTA</v>
      </c>
      <c r="D8" s="35"/>
      <c r="E8" s="35"/>
      <c r="F8" s="35"/>
      <c r="G8" s="36"/>
      <c r="I8" s="6"/>
      <c r="J8" s="6"/>
      <c r="K8" s="6"/>
    </row>
    <row r="9" ht="15.75" customHeight="1"/>
    <row r="10" ht="15.75" customHeight="1">
      <c r="A10" s="103" t="s">
        <v>219</v>
      </c>
      <c r="G10" s="98" t="s">
        <v>178</v>
      </c>
      <c r="H10" s="104">
        <f>B13</f>
        <v>5</v>
      </c>
    </row>
    <row r="11" ht="15.75" customHeight="1">
      <c r="G11" s="89" t="s">
        <v>220</v>
      </c>
    </row>
    <row r="12" ht="15.75" customHeight="1">
      <c r="A12" s="90" t="s">
        <v>221</v>
      </c>
      <c r="B12" s="91" t="s">
        <v>222</v>
      </c>
      <c r="C12" s="35"/>
      <c r="D12" s="35"/>
      <c r="E12" s="35"/>
      <c r="F12" s="35"/>
      <c r="G12" s="35"/>
      <c r="H12" s="36"/>
    </row>
    <row r="13" ht="15.75" customHeight="1">
      <c r="A13" s="105" t="s">
        <v>178</v>
      </c>
      <c r="B13" s="106">
        <v>5.0</v>
      </c>
      <c r="C13" s="35"/>
      <c r="D13" s="35"/>
      <c r="E13" s="35"/>
      <c r="F13" s="35"/>
      <c r="G13" s="35"/>
      <c r="H13" s="36"/>
    </row>
    <row r="14" ht="15.75" customHeight="1">
      <c r="A14" s="107" t="s">
        <v>223</v>
      </c>
      <c r="B14" s="35"/>
      <c r="C14" s="35"/>
      <c r="D14" s="35"/>
      <c r="E14" s="35"/>
      <c r="F14" s="35"/>
      <c r="G14" s="35"/>
      <c r="H14" s="36"/>
    </row>
    <row r="15" ht="15.75" customHeight="1">
      <c r="A15" s="108" t="s">
        <v>224</v>
      </c>
      <c r="B15" s="61"/>
      <c r="C15" s="61"/>
      <c r="D15" s="61"/>
      <c r="E15" s="61"/>
      <c r="F15" s="61"/>
      <c r="G15" s="61"/>
      <c r="H15" s="62"/>
    </row>
    <row r="16" ht="15.75" customHeight="1">
      <c r="A16" s="63"/>
      <c r="B16" s="64"/>
      <c r="C16" s="64"/>
      <c r="D16" s="64"/>
      <c r="E16" s="64"/>
      <c r="F16" s="64"/>
      <c r="G16" s="64"/>
      <c r="H16" s="65"/>
    </row>
    <row r="17" ht="15.75" customHeight="1">
      <c r="A17" s="107" t="s">
        <v>225</v>
      </c>
      <c r="B17" s="35"/>
      <c r="C17" s="35"/>
      <c r="D17" s="35"/>
      <c r="E17" s="35"/>
      <c r="F17" s="35"/>
      <c r="G17" s="35"/>
      <c r="H17" s="36"/>
    </row>
    <row r="18" ht="15.75" customHeight="1">
      <c r="A18" s="108" t="s">
        <v>226</v>
      </c>
      <c r="B18" s="61"/>
      <c r="C18" s="61"/>
      <c r="D18" s="61"/>
      <c r="E18" s="61"/>
      <c r="F18" s="61"/>
      <c r="G18" s="61"/>
      <c r="H18" s="62"/>
    </row>
    <row r="19" ht="15.75" customHeight="1">
      <c r="A19" s="63"/>
      <c r="B19" s="64"/>
      <c r="C19" s="64"/>
      <c r="D19" s="64"/>
      <c r="E19" s="64"/>
      <c r="F19" s="64"/>
      <c r="G19" s="64"/>
      <c r="H19" s="65"/>
    </row>
    <row r="20" ht="15.75" customHeight="1"/>
    <row r="21" ht="15.75" customHeight="1">
      <c r="A21" s="103" t="s">
        <v>227</v>
      </c>
      <c r="G21" s="98" t="s">
        <v>178</v>
      </c>
      <c r="H21" s="109">
        <f>SUM(D39:H42)</f>
        <v>60</v>
      </c>
      <c r="I21" s="6"/>
    </row>
    <row r="22" ht="15.75" customHeight="1">
      <c r="G22" s="89" t="s">
        <v>228</v>
      </c>
    </row>
    <row r="23" ht="15.75" customHeight="1">
      <c r="A23" s="92" t="s">
        <v>229</v>
      </c>
      <c r="B23" s="94" t="s">
        <v>80</v>
      </c>
      <c r="C23" s="35"/>
      <c r="D23" s="35"/>
      <c r="E23" s="35"/>
      <c r="F23" s="35"/>
      <c r="G23" s="35"/>
      <c r="H23" s="36"/>
    </row>
    <row r="24" ht="15.75" customHeight="1">
      <c r="A24" s="92" t="s">
        <v>229</v>
      </c>
      <c r="B24" s="94" t="s">
        <v>105</v>
      </c>
      <c r="C24" s="35"/>
      <c r="D24" s="35"/>
      <c r="E24" s="35"/>
      <c r="F24" s="35"/>
      <c r="G24" s="35"/>
      <c r="H24" s="36"/>
    </row>
    <row r="25" ht="15.75" customHeight="1"/>
    <row r="26" ht="15.75" customHeight="1">
      <c r="A26" s="110" t="s">
        <v>230</v>
      </c>
      <c r="B26" s="6"/>
      <c r="C26" s="6"/>
      <c r="D26" s="6"/>
    </row>
    <row r="27" ht="15.75" customHeight="1">
      <c r="A27" s="111" t="s">
        <v>73</v>
      </c>
      <c r="B27" s="112" t="s">
        <v>231</v>
      </c>
      <c r="C27" s="36"/>
      <c r="D27" s="112" t="s">
        <v>232</v>
      </c>
      <c r="E27" s="36"/>
      <c r="F27" s="112" t="s">
        <v>233</v>
      </c>
      <c r="G27" s="35"/>
      <c r="H27" s="36"/>
    </row>
    <row r="28" ht="15.75" customHeight="1">
      <c r="A28" s="46">
        <v>1.0</v>
      </c>
      <c r="B28" s="91" t="s">
        <v>234</v>
      </c>
      <c r="C28" s="36"/>
      <c r="D28" s="91" t="s">
        <v>235</v>
      </c>
      <c r="E28" s="36"/>
      <c r="F28" s="91" t="str">
        <f>IFERROR(__xludf.DUMMYFUNCTION("FILTER('Diseño'!F:F,'Diseño'!H:H=$C$5)"),"Introduccion a las bases de datos")</f>
        <v>Introduccion a las bases de datos</v>
      </c>
      <c r="G28" s="35"/>
      <c r="H28" s="36"/>
    </row>
    <row r="29" ht="15.75" customHeight="1">
      <c r="A29" s="46">
        <v>2.0</v>
      </c>
      <c r="B29" s="91" t="s">
        <v>234</v>
      </c>
      <c r="C29" s="36"/>
      <c r="D29" s="91" t="s">
        <v>235</v>
      </c>
      <c r="E29" s="36"/>
      <c r="F29" s="91" t="str">
        <f>IFERROR(__xludf.DUMMYFUNCTION("""COMPUTED_VALUE"""),"Conceptos Iniciales de las bases de datos")</f>
        <v>Conceptos Iniciales de las bases de datos</v>
      </c>
      <c r="G29" s="35"/>
      <c r="H29" s="36"/>
    </row>
    <row r="30" ht="15.75" customHeight="1">
      <c r="A30" s="46">
        <v>3.0</v>
      </c>
      <c r="B30" s="91" t="s">
        <v>234</v>
      </c>
      <c r="C30" s="36"/>
      <c r="D30" s="91" t="s">
        <v>235</v>
      </c>
      <c r="E30" s="36"/>
      <c r="F30" s="91" t="str">
        <f>IFERROR(__xludf.DUMMYFUNCTION("""COMPUTED_VALUE"""),"Qué es una base de datos, tabla, registro.")</f>
        <v>Qué es una base de datos, tabla, registro.</v>
      </c>
      <c r="G30" s="35"/>
      <c r="H30" s="36"/>
    </row>
    <row r="31" ht="15.75" customHeight="1">
      <c r="A31" s="46">
        <v>4.0</v>
      </c>
      <c r="B31" s="91" t="s">
        <v>234</v>
      </c>
      <c r="C31" s="36"/>
      <c r="D31" s="91" t="s">
        <v>235</v>
      </c>
      <c r="E31" s="36"/>
      <c r="F31" s="91" t="str">
        <f>IFERROR(__xludf.DUMMYFUNCTION("""COMPUTED_VALUE"""),"Tipos de bases de datos")</f>
        <v>Tipos de bases de datos</v>
      </c>
      <c r="G31" s="35"/>
      <c r="H31" s="36"/>
    </row>
    <row r="32" ht="15.75" customHeight="1">
      <c r="A32" s="46">
        <v>5.0</v>
      </c>
      <c r="B32" s="91" t="s">
        <v>234</v>
      </c>
      <c r="C32" s="36"/>
      <c r="D32" s="91" t="s">
        <v>235</v>
      </c>
      <c r="E32" s="36"/>
      <c r="F32" s="91" t="str">
        <f>IFERROR(__xludf.DUMMYFUNCTION("""COMPUTED_VALUE"""),"Gestores en las bases de datos")</f>
        <v>Gestores en las bases de datos</v>
      </c>
      <c r="G32" s="35"/>
      <c r="H32" s="36"/>
    </row>
    <row r="33" ht="15.75" customHeight="1">
      <c r="A33" s="46">
        <v>6.0</v>
      </c>
      <c r="B33" s="91" t="s">
        <v>234</v>
      </c>
      <c r="C33" s="36"/>
      <c r="D33" s="91" t="s">
        <v>235</v>
      </c>
      <c r="E33" s="36"/>
      <c r="F33" s="91" t="str">
        <f>IFERROR(__xludf.DUMMYFUNCTION("""COMPUTED_VALUE"""),"Conceptos Iniciales de las bases de datos")</f>
        <v>Conceptos Iniciales de las bases de datos</v>
      </c>
      <c r="G33" s="35"/>
      <c r="H33" s="36"/>
    </row>
    <row r="34" ht="15.75" customHeight="1">
      <c r="A34" s="46">
        <v>7.0</v>
      </c>
      <c r="B34" s="91" t="s">
        <v>234</v>
      </c>
      <c r="C34" s="36"/>
      <c r="D34" s="91" t="s">
        <v>235</v>
      </c>
      <c r="E34" s="36"/>
      <c r="F34" s="91" t="s">
        <v>236</v>
      </c>
      <c r="G34" s="35"/>
      <c r="H34" s="36"/>
    </row>
    <row r="35" ht="15.75" customHeight="1"/>
    <row r="36" ht="15.0" customHeight="1">
      <c r="A36" s="110" t="s">
        <v>237</v>
      </c>
    </row>
    <row r="37" ht="15.75" customHeight="1">
      <c r="A37" s="6"/>
      <c r="B37" s="6"/>
      <c r="C37" s="6"/>
      <c r="D37" s="6"/>
      <c r="E37" s="6"/>
      <c r="F37" s="6"/>
      <c r="G37" s="6"/>
      <c r="H37" s="6"/>
    </row>
    <row r="38">
      <c r="A38" s="111" t="s">
        <v>238</v>
      </c>
      <c r="B38" s="111" t="s">
        <v>33</v>
      </c>
      <c r="C38" s="113" t="s">
        <v>239</v>
      </c>
      <c r="D38" s="114" t="s">
        <v>178</v>
      </c>
      <c r="E38" s="35"/>
      <c r="F38" s="35"/>
      <c r="G38" s="35"/>
      <c r="H38" s="36"/>
      <c r="I38" s="115" t="s">
        <v>18</v>
      </c>
    </row>
    <row r="39" ht="15.75" customHeight="1">
      <c r="A39" s="72" t="s">
        <v>240</v>
      </c>
      <c r="B39" s="72" t="s">
        <v>241</v>
      </c>
      <c r="C39" s="72" t="s">
        <v>242</v>
      </c>
      <c r="D39" s="97">
        <v>10.0</v>
      </c>
      <c r="E39" s="35"/>
      <c r="F39" s="35"/>
      <c r="G39" s="35"/>
      <c r="H39" s="36"/>
      <c r="I39" s="70" t="str">
        <f t="shared" ref="I39:I42" si="1">IF(D39&lt;=C39,"Correcto", "Corregir")</f>
        <v>Correcto</v>
      </c>
    </row>
    <row r="40" ht="15.75" customHeight="1">
      <c r="A40" s="72" t="s">
        <v>243</v>
      </c>
      <c r="B40" s="72" t="s">
        <v>241</v>
      </c>
      <c r="C40" s="72" t="s">
        <v>242</v>
      </c>
      <c r="D40" s="97">
        <v>10.0</v>
      </c>
      <c r="E40" s="35"/>
      <c r="F40" s="35"/>
      <c r="G40" s="35"/>
      <c r="H40" s="36"/>
      <c r="I40" s="70" t="str">
        <f t="shared" si="1"/>
        <v>Correcto</v>
      </c>
    </row>
    <row r="41" ht="15.75" customHeight="1">
      <c r="A41" s="72" t="s">
        <v>244</v>
      </c>
      <c r="B41" s="72" t="s">
        <v>245</v>
      </c>
      <c r="C41" s="72" t="s">
        <v>246</v>
      </c>
      <c r="D41" s="106">
        <v>0.0</v>
      </c>
      <c r="E41" s="35"/>
      <c r="F41" s="35"/>
      <c r="G41" s="35"/>
      <c r="H41" s="36"/>
      <c r="I41" s="70" t="str">
        <f t="shared" si="1"/>
        <v>Correcto</v>
      </c>
    </row>
    <row r="42" ht="15.75" customHeight="1">
      <c r="A42" s="72" t="s">
        <v>247</v>
      </c>
      <c r="B42" s="72" t="s">
        <v>241</v>
      </c>
      <c r="C42" s="72" t="s">
        <v>248</v>
      </c>
      <c r="D42" s="106">
        <v>40.0</v>
      </c>
      <c r="E42" s="35"/>
      <c r="F42" s="35"/>
      <c r="G42" s="35"/>
      <c r="H42" s="36"/>
      <c r="I42" s="70" t="str">
        <f t="shared" si="1"/>
        <v>Correcto</v>
      </c>
    </row>
    <row r="43" ht="15.75" customHeight="1"/>
    <row r="44" ht="15.75" customHeight="1">
      <c r="A44" s="103" t="s">
        <v>249</v>
      </c>
      <c r="G44" s="98" t="s">
        <v>178</v>
      </c>
      <c r="H44" s="104">
        <f>B50</f>
        <v>35</v>
      </c>
    </row>
    <row r="45" ht="15.75" customHeight="1">
      <c r="G45" s="89" t="s">
        <v>250</v>
      </c>
    </row>
    <row r="46" ht="15.75" customHeight="1">
      <c r="A46" s="89" t="s">
        <v>251</v>
      </c>
    </row>
    <row r="47">
      <c r="A47" s="92" t="s">
        <v>252</v>
      </c>
      <c r="B47" s="94" t="s">
        <v>80</v>
      </c>
      <c r="C47" s="35"/>
      <c r="D47" s="35"/>
      <c r="E47" s="35"/>
      <c r="F47" s="35"/>
      <c r="G47" s="35"/>
      <c r="H47" s="36"/>
    </row>
    <row r="48" ht="15.75" customHeight="1">
      <c r="A48" s="92" t="s">
        <v>8</v>
      </c>
      <c r="B48" s="94" t="s">
        <v>253</v>
      </c>
      <c r="C48" s="35"/>
      <c r="D48" s="35"/>
      <c r="E48" s="35"/>
      <c r="F48" s="35"/>
      <c r="G48" s="35"/>
      <c r="H48" s="36"/>
    </row>
    <row r="49" ht="15.75" customHeight="1">
      <c r="A49" s="92" t="s">
        <v>217</v>
      </c>
      <c r="B49" s="116">
        <v>0.0</v>
      </c>
      <c r="C49" s="35"/>
      <c r="D49" s="35"/>
      <c r="E49" s="35"/>
      <c r="F49" s="35"/>
      <c r="G49" s="35"/>
      <c r="H49" s="36"/>
    </row>
    <row r="50" ht="15.75" customHeight="1">
      <c r="A50" s="92" t="s">
        <v>178</v>
      </c>
      <c r="B50" s="94">
        <v>35.0</v>
      </c>
      <c r="C50" s="35"/>
      <c r="D50" s="35"/>
      <c r="E50" s="35"/>
      <c r="F50" s="35"/>
      <c r="G50" s="35"/>
      <c r="H50" s="36"/>
    </row>
    <row r="51" ht="15.75" customHeight="1">
      <c r="A51" s="117" t="s">
        <v>254</v>
      </c>
      <c r="B51" s="6"/>
      <c r="C51" s="6"/>
      <c r="D51" s="6"/>
      <c r="E51" s="6"/>
      <c r="F51" s="6"/>
      <c r="G51" s="6"/>
      <c r="H51" s="6"/>
    </row>
    <row r="52" ht="15.75" customHeight="1">
      <c r="A52" s="118" t="s">
        <v>255</v>
      </c>
      <c r="B52" s="35"/>
      <c r="C52" s="35"/>
      <c r="D52" s="35"/>
      <c r="E52" s="35"/>
      <c r="F52" s="35"/>
      <c r="G52" s="35"/>
      <c r="H52" s="36"/>
    </row>
    <row r="53" ht="15.75" customHeight="1">
      <c r="A53" s="119" t="s">
        <v>256</v>
      </c>
      <c r="B53" s="61"/>
      <c r="C53" s="61"/>
      <c r="D53" s="61"/>
      <c r="E53" s="61"/>
      <c r="F53" s="61"/>
      <c r="G53" s="61"/>
      <c r="H53" s="62"/>
    </row>
    <row r="54" ht="15.75" customHeight="1">
      <c r="A54" s="120"/>
      <c r="H54" s="121"/>
    </row>
    <row r="55" ht="15.75" customHeight="1">
      <c r="A55" s="63"/>
      <c r="B55" s="64"/>
      <c r="C55" s="64"/>
      <c r="D55" s="64"/>
      <c r="E55" s="64"/>
      <c r="F55" s="64"/>
      <c r="G55" s="64"/>
      <c r="H55" s="65"/>
    </row>
    <row r="56" ht="15.75" customHeight="1"/>
    <row r="57" ht="15.75" customHeight="1">
      <c r="A57" s="89" t="s">
        <v>257</v>
      </c>
    </row>
    <row r="58">
      <c r="A58" s="92" t="s">
        <v>252</v>
      </c>
      <c r="B58" s="94" t="s">
        <v>80</v>
      </c>
      <c r="C58" s="35"/>
      <c r="D58" s="35"/>
      <c r="E58" s="35"/>
      <c r="F58" s="35"/>
      <c r="G58" s="35"/>
      <c r="H58" s="36"/>
    </row>
    <row r="59" ht="15.75" customHeight="1">
      <c r="A59" s="92" t="s">
        <v>8</v>
      </c>
      <c r="B59" s="94" t="s">
        <v>258</v>
      </c>
      <c r="C59" s="35"/>
      <c r="D59" s="35"/>
      <c r="E59" s="35"/>
      <c r="F59" s="35"/>
      <c r="G59" s="35"/>
      <c r="H59" s="36"/>
    </row>
    <row r="60" ht="15.75" customHeight="1">
      <c r="A60" s="92" t="s">
        <v>217</v>
      </c>
      <c r="B60" s="122">
        <v>0.0</v>
      </c>
      <c r="C60" s="35"/>
      <c r="D60" s="35"/>
      <c r="E60" s="35"/>
      <c r="F60" s="35"/>
      <c r="G60" s="35"/>
      <c r="H60" s="36"/>
    </row>
    <row r="61" ht="15.75" customHeight="1">
      <c r="A61" s="92" t="s">
        <v>178</v>
      </c>
      <c r="B61" s="122">
        <v>0.0</v>
      </c>
      <c r="C61" s="35"/>
      <c r="D61" s="35"/>
      <c r="E61" s="35"/>
      <c r="F61" s="35"/>
      <c r="G61" s="35"/>
      <c r="H61" s="36"/>
    </row>
    <row r="62" ht="15.75" customHeight="1">
      <c r="A62" s="123" t="s">
        <v>259</v>
      </c>
      <c r="B62" s="6"/>
      <c r="C62" s="6"/>
      <c r="D62" s="6"/>
      <c r="E62" s="6"/>
      <c r="F62" s="6"/>
      <c r="G62" s="6"/>
      <c r="H62" s="6"/>
    </row>
    <row r="63" ht="15.75" customHeight="1">
      <c r="A63" s="118" t="s">
        <v>255</v>
      </c>
      <c r="B63" s="35"/>
      <c r="C63" s="35"/>
      <c r="D63" s="35"/>
      <c r="E63" s="35"/>
      <c r="F63" s="35"/>
      <c r="G63" s="35"/>
      <c r="H63" s="36"/>
    </row>
    <row r="64" ht="15.75" customHeight="1">
      <c r="A64" s="119" t="s">
        <v>260</v>
      </c>
      <c r="B64" s="61"/>
      <c r="C64" s="61"/>
      <c r="D64" s="61"/>
      <c r="E64" s="61"/>
      <c r="F64" s="61"/>
      <c r="G64" s="61"/>
      <c r="H64" s="62"/>
    </row>
    <row r="65" ht="15.75" customHeight="1">
      <c r="A65" s="120"/>
      <c r="H65" s="121"/>
    </row>
    <row r="66" ht="15.75" customHeight="1">
      <c r="A66" s="63"/>
      <c r="B66" s="64"/>
      <c r="C66" s="64"/>
      <c r="D66" s="64"/>
      <c r="E66" s="64"/>
      <c r="F66" s="64"/>
      <c r="G66" s="64"/>
      <c r="H66" s="65"/>
    </row>
    <row r="67" ht="15.75" customHeight="1"/>
    <row r="68" ht="15.75" customHeight="1">
      <c r="A68" s="103" t="s">
        <v>261</v>
      </c>
      <c r="G68" s="98" t="s">
        <v>178</v>
      </c>
      <c r="H68" s="104">
        <f>B70</f>
        <v>5</v>
      </c>
    </row>
    <row r="69" ht="15.75" customHeight="1">
      <c r="G69" s="89" t="s">
        <v>262</v>
      </c>
    </row>
    <row r="70" ht="15.75" customHeight="1">
      <c r="A70" s="92" t="s">
        <v>178</v>
      </c>
      <c r="B70" s="116">
        <v>5.0</v>
      </c>
      <c r="C70" s="35"/>
      <c r="D70" s="35"/>
      <c r="E70" s="35"/>
      <c r="F70" s="35"/>
      <c r="G70" s="35"/>
      <c r="H70" s="36"/>
    </row>
    <row r="71" ht="15.75" customHeight="1">
      <c r="A71" s="124" t="s">
        <v>263</v>
      </c>
      <c r="B71" s="35"/>
      <c r="C71" s="35"/>
      <c r="D71" s="35"/>
      <c r="E71" s="35"/>
      <c r="F71" s="35"/>
      <c r="G71" s="35"/>
      <c r="H71" s="36"/>
    </row>
    <row r="72" ht="15.75" customHeight="1">
      <c r="A72" s="119" t="s">
        <v>264</v>
      </c>
      <c r="B72" s="61"/>
      <c r="C72" s="61"/>
      <c r="D72" s="61"/>
      <c r="E72" s="61"/>
      <c r="F72" s="61"/>
      <c r="G72" s="61"/>
      <c r="H72" s="62"/>
    </row>
    <row r="73" ht="15.75" customHeight="1">
      <c r="A73" s="63"/>
      <c r="B73" s="64"/>
      <c r="C73" s="64"/>
      <c r="D73" s="64"/>
      <c r="E73" s="64"/>
      <c r="F73" s="64"/>
      <c r="G73" s="64"/>
      <c r="H73" s="65"/>
    </row>
    <row r="74" ht="15.75" customHeight="1">
      <c r="A74" s="89" t="s">
        <v>265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216</v>
      </c>
    </row>
    <row r="3" ht="15.75" customHeight="1"/>
    <row r="4" ht="15.75" customHeight="1">
      <c r="B4" s="83" t="s">
        <v>1</v>
      </c>
      <c r="C4" s="100" t="str">
        <f>'Diseño'!C4</f>
        <v>667 - Programacion Comercial 1</v>
      </c>
      <c r="D4" s="35"/>
      <c r="E4" s="35"/>
      <c r="F4" s="35"/>
      <c r="G4" s="36"/>
    </row>
    <row r="5" ht="15.75" customHeight="1">
      <c r="B5" s="70" t="s">
        <v>79</v>
      </c>
      <c r="C5" s="84">
        <v>3.0</v>
      </c>
      <c r="D5" s="35"/>
      <c r="E5" s="35"/>
      <c r="F5" s="35"/>
      <c r="G5" s="36"/>
    </row>
    <row r="6" ht="15.75" customHeight="1">
      <c r="B6" s="101" t="s">
        <v>175</v>
      </c>
      <c r="C6" s="84">
        <f>H10+H21+H44+H68</f>
        <v>114</v>
      </c>
      <c r="D6" s="35"/>
      <c r="E6" s="35"/>
      <c r="F6" s="35"/>
      <c r="G6" s="36"/>
      <c r="I6" s="6"/>
    </row>
    <row r="7" ht="15.75" customHeight="1">
      <c r="B7" s="101" t="s">
        <v>217</v>
      </c>
      <c r="C7" s="84">
        <f>B49+B60</f>
        <v>0</v>
      </c>
      <c r="D7" s="35"/>
      <c r="E7" s="35"/>
      <c r="F7" s="35"/>
      <c r="G7" s="36"/>
    </row>
    <row r="8" ht="15.75" customHeight="1">
      <c r="B8" s="101" t="s">
        <v>218</v>
      </c>
      <c r="C8" s="102" t="str">
        <f>IF(H44&lt;=0, "❌ ERROR: La Actividad 1 debe tener un tiempo mayor a 0.", IF(H21&gt;60, "❌ ERROR: El 'Área de Conocimiento' no puede exceder los 60 min.", IF((H10+H21+H44)&lt;100, "❌ ERROR: El tiempo total debe ser de al menos 100 min.", "✅ VALIDACIÓN CORRECTA")))</f>
        <v>✅ VALIDACIÓN CORRECTA</v>
      </c>
      <c r="D8" s="35"/>
      <c r="E8" s="35"/>
      <c r="F8" s="35"/>
      <c r="G8" s="36"/>
      <c r="I8" s="6"/>
      <c r="J8" s="6"/>
      <c r="K8" s="6"/>
    </row>
    <row r="9" ht="15.75" customHeight="1"/>
    <row r="10" ht="15.75" customHeight="1">
      <c r="A10" s="103" t="s">
        <v>219</v>
      </c>
      <c r="G10" s="98" t="s">
        <v>178</v>
      </c>
      <c r="H10" s="104">
        <f>B13</f>
        <v>4</v>
      </c>
    </row>
    <row r="11" ht="15.75" customHeight="1">
      <c r="G11" s="89" t="s">
        <v>220</v>
      </c>
    </row>
    <row r="12" ht="15.75" customHeight="1">
      <c r="A12" s="90" t="s">
        <v>221</v>
      </c>
      <c r="B12" s="91" t="s">
        <v>266</v>
      </c>
      <c r="C12" s="35"/>
      <c r="D12" s="35"/>
      <c r="E12" s="35"/>
      <c r="F12" s="35"/>
      <c r="G12" s="35"/>
      <c r="H12" s="36"/>
    </row>
    <row r="13" ht="15.75" customHeight="1">
      <c r="A13" s="105" t="s">
        <v>178</v>
      </c>
      <c r="B13" s="97">
        <v>4.0</v>
      </c>
      <c r="C13" s="35"/>
      <c r="D13" s="35"/>
      <c r="E13" s="35"/>
      <c r="F13" s="35"/>
      <c r="G13" s="35"/>
      <c r="H13" s="36"/>
    </row>
    <row r="14" ht="15.75" customHeight="1">
      <c r="A14" s="107" t="s">
        <v>223</v>
      </c>
      <c r="B14" s="35"/>
      <c r="C14" s="35"/>
      <c r="D14" s="35"/>
      <c r="E14" s="35"/>
      <c r="F14" s="35"/>
      <c r="G14" s="35"/>
      <c r="H14" s="36"/>
    </row>
    <row r="15" ht="15.75" customHeight="1">
      <c r="A15" s="125" t="s">
        <v>267</v>
      </c>
      <c r="B15" s="61"/>
      <c r="C15" s="61"/>
      <c r="D15" s="61"/>
      <c r="E15" s="61"/>
      <c r="F15" s="61"/>
      <c r="G15" s="61"/>
      <c r="H15" s="62"/>
    </row>
    <row r="16" ht="15.75" customHeight="1">
      <c r="A16" s="63"/>
      <c r="B16" s="64"/>
      <c r="C16" s="64"/>
      <c r="D16" s="64"/>
      <c r="E16" s="64"/>
      <c r="F16" s="64"/>
      <c r="G16" s="64"/>
      <c r="H16" s="65"/>
    </row>
    <row r="17" ht="15.75" customHeight="1">
      <c r="A17" s="107" t="s">
        <v>225</v>
      </c>
      <c r="B17" s="35"/>
      <c r="C17" s="35"/>
      <c r="D17" s="35"/>
      <c r="E17" s="35"/>
      <c r="F17" s="35"/>
      <c r="G17" s="35"/>
      <c r="H17" s="36"/>
    </row>
    <row r="18" ht="27.0" customHeight="1">
      <c r="A18" s="125" t="s">
        <v>268</v>
      </c>
      <c r="B18" s="61"/>
      <c r="C18" s="61"/>
      <c r="D18" s="61"/>
      <c r="E18" s="61"/>
      <c r="F18" s="61"/>
      <c r="G18" s="61"/>
      <c r="H18" s="62"/>
    </row>
    <row r="19" ht="15.75" customHeight="1">
      <c r="A19" s="63"/>
      <c r="B19" s="64"/>
      <c r="C19" s="64"/>
      <c r="D19" s="64"/>
      <c r="E19" s="64"/>
      <c r="F19" s="64"/>
      <c r="G19" s="64"/>
      <c r="H19" s="65"/>
    </row>
    <row r="20" ht="15.75" customHeight="1"/>
    <row r="21" ht="15.75" customHeight="1">
      <c r="A21" s="103" t="s">
        <v>227</v>
      </c>
      <c r="G21" s="98" t="s">
        <v>178</v>
      </c>
      <c r="H21" s="109">
        <v>40.0</v>
      </c>
      <c r="I21" s="6"/>
    </row>
    <row r="22" ht="15.75" customHeight="1">
      <c r="G22" s="89" t="s">
        <v>228</v>
      </c>
    </row>
    <row r="23" ht="15.75" customHeight="1">
      <c r="A23" s="92" t="s">
        <v>229</v>
      </c>
      <c r="B23" s="94" t="s">
        <v>80</v>
      </c>
      <c r="C23" s="35"/>
      <c r="D23" s="35"/>
      <c r="E23" s="35"/>
      <c r="F23" s="35"/>
      <c r="G23" s="35"/>
      <c r="H23" s="36"/>
    </row>
    <row r="24" ht="15.75" customHeight="1">
      <c r="A24" s="92" t="s">
        <v>229</v>
      </c>
      <c r="B24" s="94" t="s">
        <v>269</v>
      </c>
      <c r="C24" s="35"/>
      <c r="D24" s="35"/>
      <c r="E24" s="35"/>
      <c r="F24" s="35"/>
      <c r="G24" s="35"/>
      <c r="H24" s="36"/>
    </row>
    <row r="25" ht="15.75" customHeight="1"/>
    <row r="26" ht="15.75" customHeight="1">
      <c r="A26" s="110" t="s">
        <v>230</v>
      </c>
      <c r="B26" s="6"/>
      <c r="C26" s="6"/>
      <c r="D26" s="6"/>
    </row>
    <row r="27" ht="15.75" customHeight="1">
      <c r="A27" s="126" t="s">
        <v>73</v>
      </c>
      <c r="B27" s="127" t="s">
        <v>231</v>
      </c>
      <c r="C27" s="36"/>
      <c r="D27" s="127" t="s">
        <v>232</v>
      </c>
      <c r="E27" s="36"/>
      <c r="F27" s="127" t="s">
        <v>233</v>
      </c>
      <c r="G27" s="35"/>
      <c r="H27" s="36"/>
    </row>
    <row r="28" ht="15.75" customHeight="1">
      <c r="A28" s="70">
        <v>1.0</v>
      </c>
      <c r="B28" s="84" t="str">
        <f>IFERROR(__xludf.DUMMYFUNCTION("FILTER('Diseño'!D:D,'Diseño'!H:H=$C$5)"),"1.  Base de datos ")</f>
        <v>1.  Base de datos </v>
      </c>
      <c r="C28" s="36"/>
      <c r="D28" s="84" t="str">
        <f>IFERROR(__xludf.DUMMYFUNCTION("FILTER('Diseño'!E:E,'Diseño'!H:H=$C$5)"),"¿Qué es SQL Server?")</f>
        <v>¿Qué es SQL Server?</v>
      </c>
      <c r="E28" s="36"/>
      <c r="F28" s="84" t="str">
        <f>IFERROR(__xludf.DUMMYFUNCTION("FILTER('Diseño'!F:F,'Diseño'!H:H=$C$5)"),"RDBMS, T-SQL, casos de uso, características clave")</f>
        <v>RDBMS, T-SQL, casos de uso, características clave</v>
      </c>
      <c r="G28" s="35"/>
      <c r="H28" s="36"/>
    </row>
    <row r="29" ht="15.75" customHeight="1">
      <c r="A29" s="70">
        <v>2.0</v>
      </c>
      <c r="B29" s="84" t="str">
        <f>IFERROR(__xludf.DUMMYFUNCTION("""COMPUTED_VALUE"""),"1.  Base de datos ")</f>
        <v>1.  Base de datos </v>
      </c>
      <c r="C29" s="36"/>
      <c r="D29" s="84" t="str">
        <f>IFERROR(__xludf.DUMMYFUNCTION("""COMPUTED_VALUE"""),"Instalación y conexión")</f>
        <v>Instalación y conexión</v>
      </c>
      <c r="E29" s="36"/>
      <c r="F29" s="84" t="str">
        <f>IFERROR(__xludf.DUMMYFUNCTION("""COMPUTED_VALUE"""),"Edición Developer, SSMS, modo de autenticación, conexión inicial")</f>
        <v>Edición Developer, SSMS, modo de autenticación, conexión inicial</v>
      </c>
      <c r="G29" s="35"/>
      <c r="H29" s="36"/>
    </row>
    <row r="30" ht="15.75" customHeight="1">
      <c r="A30" s="70">
        <v>3.0</v>
      </c>
      <c r="B30" s="84" t="str">
        <f>IFERROR(__xludf.DUMMYFUNCTION("""COMPUTED_VALUE"""),"1.  Base de datos ")</f>
        <v>1.  Base de datos </v>
      </c>
      <c r="C30" s="36"/>
      <c r="D30" s="84" t="str">
        <f>IFERROR(__xludf.DUMMYFUNCTION("""COMPUTED_VALUE"""),"Creación de la base de datos")</f>
        <v>Creación de la base de datos</v>
      </c>
      <c r="E30" s="36"/>
      <c r="F30" s="84" t="str">
        <f>IFERROR(__xludf.DUMMYFUNCTION("""COMPUTED_VALUE"""),"CREATE DATABASE y contexto USE")</f>
        <v>CREATE DATABASE y contexto USE</v>
      </c>
      <c r="G30" s="35"/>
      <c r="H30" s="36"/>
    </row>
    <row r="31" ht="15.75" customHeight="1">
      <c r="A31" s="70">
        <v>4.0</v>
      </c>
      <c r="B31" s="84" t="str">
        <f>IFERROR(__xludf.DUMMYFUNCTION("""COMPUTED_VALUE"""),"1.  Base de datos ")</f>
        <v>1.  Base de datos </v>
      </c>
      <c r="C31" s="36"/>
      <c r="D31" s="84" t="str">
        <f>IFERROR(__xludf.DUMMYFUNCTION("""COMPUTED_VALUE"""),"Tablas y tipos de datos")</f>
        <v>Tablas y tipos de datos</v>
      </c>
      <c r="E31" s="36"/>
      <c r="F31" s="84" t="str">
        <f>IFERROR(__xludf.DUMMYFUNCTION("""COMPUTED_VALUE"""),"INT, DECIMAL(p,s), NVARCHAR(n), DATE/DATETIME, BIT, PRIMARY KEY, IDENTITY, NOT NULL")</f>
        <v>INT, DECIMAL(p,s), NVARCHAR(n), DATE/DATETIME, BIT, PRIMARY KEY, IDENTITY, NOT NULL</v>
      </c>
      <c r="G31" s="35"/>
      <c r="H31" s="36"/>
    </row>
    <row r="32" ht="15.75" customHeight="1">
      <c r="A32" s="70">
        <v>5.0</v>
      </c>
      <c r="B32" s="84" t="str">
        <f>IFERROR(__xludf.DUMMYFUNCTION("""COMPUTED_VALUE"""),"1.  Base de datos ")</f>
        <v>1.  Base de datos </v>
      </c>
      <c r="C32" s="36"/>
      <c r="D32" s="84" t="str">
        <f>IFERROR(__xludf.DUMMYFUNCTION("""COMPUTED_VALUE"""),"Inserción de datos")</f>
        <v>Inserción de datos</v>
      </c>
      <c r="E32" s="36"/>
      <c r="F32" s="84" t="str">
        <f>IFERROR(__xludf.DUMMYFUNCTION("""COMPUTED_VALUE"""),"INSERT INTO ... VALUES (...) (múltiples filas)")</f>
        <v>INSERT INTO ... VALUES (...) (múltiples filas)</v>
      </c>
      <c r="G32" s="35"/>
      <c r="H32" s="36"/>
    </row>
    <row r="33" ht="15.75" customHeight="1">
      <c r="A33" s="70">
        <v>6.0</v>
      </c>
      <c r="B33" s="84" t="str">
        <f>IFERROR(__xludf.DUMMYFUNCTION("""COMPUTED_VALUE"""),"1.  Base de datos ")</f>
        <v>1.  Base de datos </v>
      </c>
      <c r="C33" s="36"/>
      <c r="D33" s="84" t="str">
        <f>IFERROR(__xludf.DUMMYFUNCTION("""COMPUTED_VALUE"""),"SELECT básico")</f>
        <v>SELECT básico</v>
      </c>
      <c r="E33" s="36"/>
      <c r="F33" s="84" t="str">
        <f>IFERROR(__xludf.DUMMYFUNCTION("""COMPUTED_VALUE"""),"SELECT *, proyección de columnas, WHERE, ORDER BY")</f>
        <v>SELECT *, proyección de columnas, WHERE, ORDER BY</v>
      </c>
      <c r="G33" s="35"/>
      <c r="H33" s="36"/>
    </row>
    <row r="34" ht="15.75" customHeight="1">
      <c r="A34" s="70">
        <v>7.0</v>
      </c>
      <c r="B34" s="84" t="str">
        <f>IFERROR(__xludf.DUMMYFUNCTION("""COMPUTED_VALUE"""),"1.  Base de datos ")</f>
        <v>1.  Base de datos </v>
      </c>
      <c r="C34" s="36"/>
      <c r="D34" s="84" t="str">
        <f>IFERROR(__xludf.DUMMYFUNCTION("""COMPUTED_VALUE"""),"Hoja de Trabajo 1")</f>
        <v>Hoja de Trabajo 1</v>
      </c>
      <c r="E34" s="36"/>
      <c r="F34" s="84" t="str">
        <f>IFERROR(__xludf.DUMMYFUNCTION("""COMPUTED_VALUE"""),"Ejercicio integrador: BD + tablas + inserts + consultas")</f>
        <v>Ejercicio integrador: BD + tablas + inserts + consultas</v>
      </c>
      <c r="G34" s="35"/>
      <c r="H34" s="36"/>
    </row>
    <row r="35" ht="15.75" customHeight="1"/>
    <row r="36" ht="15.75" customHeight="1">
      <c r="A36" s="110" t="s">
        <v>237</v>
      </c>
    </row>
    <row r="37" ht="15.75" customHeight="1">
      <c r="A37" s="6"/>
      <c r="B37" s="6"/>
      <c r="C37" s="6"/>
      <c r="D37" s="6"/>
      <c r="E37" s="6"/>
      <c r="F37" s="6"/>
      <c r="G37" s="6"/>
      <c r="H37" s="6"/>
    </row>
    <row r="38">
      <c r="A38" s="126" t="s">
        <v>238</v>
      </c>
      <c r="B38" s="126" t="s">
        <v>33</v>
      </c>
      <c r="C38" s="128" t="s">
        <v>270</v>
      </c>
      <c r="D38" s="124" t="s">
        <v>271</v>
      </c>
      <c r="E38" s="35"/>
      <c r="F38" s="35"/>
      <c r="G38" s="35"/>
      <c r="H38" s="36"/>
      <c r="I38" s="115" t="s">
        <v>18</v>
      </c>
    </row>
    <row r="39" ht="15.75" customHeight="1">
      <c r="A39" s="70" t="s">
        <v>240</v>
      </c>
      <c r="B39" s="70" t="s">
        <v>241</v>
      </c>
      <c r="C39" s="70">
        <v>30.0</v>
      </c>
      <c r="D39" s="106">
        <v>30.0</v>
      </c>
      <c r="E39" s="35"/>
      <c r="F39" s="35"/>
      <c r="G39" s="35"/>
      <c r="H39" s="36"/>
      <c r="I39" s="70" t="str">
        <f t="shared" ref="I39:I42" si="1">IF(D39&lt;=C39,"Correcto", "Corregir")</f>
        <v>Correcto</v>
      </c>
    </row>
    <row r="40" ht="15.75" customHeight="1">
      <c r="A40" s="70" t="s">
        <v>243</v>
      </c>
      <c r="B40" s="70" t="s">
        <v>241</v>
      </c>
      <c r="C40" s="70">
        <v>6.0</v>
      </c>
      <c r="D40" s="97">
        <v>5.0</v>
      </c>
      <c r="E40" s="35"/>
      <c r="F40" s="35"/>
      <c r="G40" s="35"/>
      <c r="H40" s="36"/>
      <c r="I40" s="70" t="str">
        <f t="shared" si="1"/>
        <v>Correcto</v>
      </c>
    </row>
    <row r="41" ht="15.75" customHeight="1">
      <c r="A41" s="70" t="s">
        <v>244</v>
      </c>
      <c r="B41" s="70" t="s">
        <v>245</v>
      </c>
      <c r="C41" s="70">
        <v>10.0</v>
      </c>
      <c r="D41" s="97">
        <v>0.0</v>
      </c>
      <c r="E41" s="35"/>
      <c r="F41" s="35"/>
      <c r="G41" s="35"/>
      <c r="H41" s="36"/>
      <c r="I41" s="70" t="str">
        <f t="shared" si="1"/>
        <v>Correcto</v>
      </c>
    </row>
    <row r="42" ht="15.75" customHeight="1">
      <c r="A42" s="70" t="s">
        <v>247</v>
      </c>
      <c r="B42" s="70" t="s">
        <v>241</v>
      </c>
      <c r="C42" s="70">
        <v>30.0</v>
      </c>
      <c r="D42" s="97">
        <v>15.0</v>
      </c>
      <c r="E42" s="35"/>
      <c r="F42" s="35"/>
      <c r="G42" s="35"/>
      <c r="H42" s="36"/>
      <c r="I42" s="70" t="str">
        <f t="shared" si="1"/>
        <v>Correcto</v>
      </c>
    </row>
    <row r="43" ht="15.75" customHeight="1"/>
    <row r="44" ht="15.75" customHeight="1">
      <c r="A44" s="103" t="s">
        <v>249</v>
      </c>
      <c r="G44" s="98" t="s">
        <v>178</v>
      </c>
      <c r="H44" s="104">
        <f>B50</f>
        <v>60</v>
      </c>
    </row>
    <row r="45" ht="15.75" customHeight="1">
      <c r="G45" s="89" t="s">
        <v>250</v>
      </c>
    </row>
    <row r="46" ht="15.75" customHeight="1">
      <c r="A46" s="89" t="s">
        <v>251</v>
      </c>
    </row>
    <row r="47">
      <c r="A47" s="92" t="s">
        <v>252</v>
      </c>
      <c r="B47" s="94" t="s">
        <v>105</v>
      </c>
      <c r="C47" s="35"/>
      <c r="D47" s="35"/>
      <c r="E47" s="35"/>
      <c r="F47" s="35"/>
      <c r="G47" s="35"/>
      <c r="H47" s="36"/>
    </row>
    <row r="48" ht="15.75" customHeight="1">
      <c r="A48" s="92" t="s">
        <v>8</v>
      </c>
      <c r="B48" s="94" t="s">
        <v>272</v>
      </c>
      <c r="C48" s="35"/>
      <c r="D48" s="35"/>
      <c r="E48" s="35"/>
      <c r="F48" s="35"/>
      <c r="G48" s="35"/>
      <c r="H48" s="36"/>
    </row>
    <row r="49" ht="15.75" customHeight="1">
      <c r="A49" s="92" t="s">
        <v>217</v>
      </c>
      <c r="B49" s="116">
        <v>0.0</v>
      </c>
      <c r="C49" s="35"/>
      <c r="D49" s="35"/>
      <c r="E49" s="35"/>
      <c r="F49" s="35"/>
      <c r="G49" s="35"/>
      <c r="H49" s="36"/>
    </row>
    <row r="50" ht="15.75" customHeight="1">
      <c r="A50" s="92" t="s">
        <v>178</v>
      </c>
      <c r="B50" s="94">
        <v>60.0</v>
      </c>
      <c r="C50" s="35"/>
      <c r="D50" s="35"/>
      <c r="E50" s="35"/>
      <c r="F50" s="35"/>
      <c r="G50" s="35"/>
      <c r="H50" s="36"/>
    </row>
    <row r="51" ht="15.75" customHeight="1">
      <c r="A51" s="117" t="s">
        <v>254</v>
      </c>
      <c r="B51" s="6"/>
      <c r="C51" s="6"/>
      <c r="D51" s="6"/>
      <c r="E51" s="6"/>
      <c r="F51" s="6"/>
      <c r="G51" s="6"/>
      <c r="H51" s="6"/>
    </row>
    <row r="52" ht="15.75" customHeight="1">
      <c r="A52" s="118" t="s">
        <v>255</v>
      </c>
      <c r="B52" s="35"/>
      <c r="C52" s="35"/>
      <c r="D52" s="35"/>
      <c r="E52" s="35"/>
      <c r="F52" s="35"/>
      <c r="G52" s="35"/>
      <c r="H52" s="36"/>
    </row>
    <row r="53" ht="15.75" customHeight="1">
      <c r="A53" s="129" t="s">
        <v>273</v>
      </c>
      <c r="B53" s="61"/>
      <c r="C53" s="61"/>
      <c r="D53" s="61"/>
      <c r="E53" s="61"/>
      <c r="F53" s="61"/>
      <c r="G53" s="61"/>
      <c r="H53" s="62"/>
    </row>
    <row r="54" ht="15.75" customHeight="1">
      <c r="A54" s="120"/>
      <c r="H54" s="121"/>
    </row>
    <row r="55" ht="15.75" customHeight="1">
      <c r="A55" s="63"/>
      <c r="B55" s="64"/>
      <c r="C55" s="64"/>
      <c r="D55" s="64"/>
      <c r="E55" s="64"/>
      <c r="F55" s="64"/>
      <c r="G55" s="64"/>
      <c r="H55" s="65"/>
    </row>
    <row r="56" ht="15.75" customHeight="1"/>
    <row r="57" ht="15.75" customHeight="1">
      <c r="A57" s="89" t="s">
        <v>257</v>
      </c>
    </row>
    <row r="58">
      <c r="A58" s="92" t="s">
        <v>252</v>
      </c>
      <c r="B58" s="94" t="s">
        <v>105</v>
      </c>
      <c r="C58" s="35"/>
      <c r="D58" s="35"/>
      <c r="E58" s="35"/>
      <c r="F58" s="35"/>
      <c r="G58" s="35"/>
      <c r="H58" s="36"/>
    </row>
    <row r="59" ht="15.75" customHeight="1">
      <c r="A59" s="92" t="s">
        <v>8</v>
      </c>
      <c r="B59" s="94" t="s">
        <v>274</v>
      </c>
      <c r="C59" s="35"/>
      <c r="D59" s="35"/>
      <c r="E59" s="35"/>
      <c r="F59" s="35"/>
      <c r="G59" s="35"/>
      <c r="H59" s="36"/>
    </row>
    <row r="60" ht="15.75" customHeight="1">
      <c r="A60" s="92" t="s">
        <v>217</v>
      </c>
      <c r="B60" s="116">
        <v>0.0</v>
      </c>
      <c r="C60" s="35"/>
      <c r="D60" s="35"/>
      <c r="E60" s="35"/>
      <c r="F60" s="35"/>
      <c r="G60" s="35"/>
      <c r="H60" s="36"/>
    </row>
    <row r="61" ht="15.75" customHeight="1">
      <c r="A61" s="92" t="s">
        <v>178</v>
      </c>
      <c r="B61" s="116" t="s">
        <v>275</v>
      </c>
      <c r="C61" s="35"/>
      <c r="D61" s="35"/>
      <c r="E61" s="35"/>
      <c r="F61" s="35"/>
      <c r="G61" s="35"/>
      <c r="H61" s="36"/>
    </row>
    <row r="62" ht="15.75" customHeight="1">
      <c r="A62" s="123" t="s">
        <v>259</v>
      </c>
      <c r="B62" s="6"/>
      <c r="C62" s="6"/>
      <c r="D62" s="6"/>
      <c r="E62" s="6"/>
      <c r="F62" s="6"/>
      <c r="G62" s="6"/>
      <c r="H62" s="6"/>
    </row>
    <row r="63" ht="15.75" customHeight="1">
      <c r="A63" s="118" t="s">
        <v>255</v>
      </c>
      <c r="B63" s="35"/>
      <c r="C63" s="35"/>
      <c r="D63" s="35"/>
      <c r="E63" s="35"/>
      <c r="F63" s="35"/>
      <c r="G63" s="35"/>
      <c r="H63" s="36"/>
    </row>
    <row r="64" ht="15.75" customHeight="1">
      <c r="A64" s="119" t="s">
        <v>276</v>
      </c>
      <c r="B64" s="61"/>
      <c r="C64" s="61"/>
      <c r="D64" s="61"/>
      <c r="E64" s="61"/>
      <c r="F64" s="61"/>
      <c r="G64" s="61"/>
      <c r="H64" s="62"/>
    </row>
    <row r="65" ht="15.75" customHeight="1">
      <c r="A65" s="120"/>
      <c r="H65" s="121"/>
    </row>
    <row r="66" ht="15.75" customHeight="1">
      <c r="A66" s="63"/>
      <c r="B66" s="64"/>
      <c r="C66" s="64"/>
      <c r="D66" s="64"/>
      <c r="E66" s="64"/>
      <c r="F66" s="64"/>
      <c r="G66" s="64"/>
      <c r="H66" s="65"/>
    </row>
    <row r="67" ht="15.75" customHeight="1"/>
    <row r="68" ht="15.75" customHeight="1">
      <c r="A68" s="103" t="s">
        <v>261</v>
      </c>
      <c r="G68" s="98" t="s">
        <v>178</v>
      </c>
      <c r="H68" s="104">
        <f>B70</f>
        <v>10</v>
      </c>
    </row>
    <row r="69" ht="15.75" customHeight="1">
      <c r="G69" s="89" t="s">
        <v>262</v>
      </c>
    </row>
    <row r="70" ht="15.75" customHeight="1">
      <c r="A70" s="92" t="s">
        <v>178</v>
      </c>
      <c r="B70" s="116">
        <v>10.0</v>
      </c>
      <c r="C70" s="35"/>
      <c r="D70" s="35"/>
      <c r="E70" s="35"/>
      <c r="F70" s="35"/>
      <c r="G70" s="35"/>
      <c r="H70" s="36"/>
    </row>
    <row r="71" ht="15.75" customHeight="1">
      <c r="A71" s="124" t="s">
        <v>263</v>
      </c>
      <c r="B71" s="35"/>
      <c r="C71" s="35"/>
      <c r="D71" s="35"/>
      <c r="E71" s="35"/>
      <c r="F71" s="35"/>
      <c r="G71" s="35"/>
      <c r="H71" s="36"/>
    </row>
    <row r="72" ht="15.75" customHeight="1">
      <c r="A72" s="119" t="s">
        <v>277</v>
      </c>
      <c r="B72" s="61"/>
      <c r="C72" s="61"/>
      <c r="D72" s="61"/>
      <c r="E72" s="61"/>
      <c r="F72" s="61"/>
      <c r="G72" s="61"/>
      <c r="H72" s="62"/>
    </row>
    <row r="73" ht="15.75" customHeight="1">
      <c r="A73" s="63"/>
      <c r="B73" s="64"/>
      <c r="C73" s="64"/>
      <c r="D73" s="64"/>
      <c r="E73" s="64"/>
      <c r="F73" s="64"/>
      <c r="G73" s="64"/>
      <c r="H73" s="65"/>
    </row>
    <row r="74" ht="15.75" customHeight="1">
      <c r="A74" s="89" t="s">
        <v>265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216</v>
      </c>
    </row>
    <row r="3" ht="15.75" customHeight="1"/>
    <row r="4" ht="15.75" customHeight="1">
      <c r="B4" s="83" t="s">
        <v>1</v>
      </c>
      <c r="C4" s="100" t="str">
        <f>'Diseño'!C4</f>
        <v>667 - Programacion Comercial 1</v>
      </c>
      <c r="D4" s="35"/>
      <c r="E4" s="35"/>
      <c r="F4" s="35"/>
      <c r="G4" s="36"/>
    </row>
    <row r="5" ht="15.75" customHeight="1">
      <c r="B5" s="70" t="s">
        <v>79</v>
      </c>
      <c r="C5" s="84">
        <v>4.0</v>
      </c>
      <c r="D5" s="35"/>
      <c r="E5" s="35"/>
      <c r="F5" s="35"/>
      <c r="G5" s="36"/>
    </row>
    <row r="6" ht="15.75" customHeight="1">
      <c r="B6" s="101" t="s">
        <v>175</v>
      </c>
      <c r="C6" s="84">
        <f>H10+H21+H44+H68</f>
        <v>100</v>
      </c>
      <c r="D6" s="35"/>
      <c r="E6" s="35"/>
      <c r="F6" s="35"/>
      <c r="G6" s="36"/>
      <c r="I6" s="6"/>
    </row>
    <row r="7" ht="15.75" customHeight="1">
      <c r="B7" s="101" t="s">
        <v>217</v>
      </c>
      <c r="C7" s="84">
        <f>B49+B60</f>
        <v>8</v>
      </c>
      <c r="D7" s="35"/>
      <c r="E7" s="35"/>
      <c r="F7" s="35"/>
      <c r="G7" s="36"/>
    </row>
    <row r="8" ht="15.75" customHeight="1">
      <c r="B8" s="101" t="s">
        <v>218</v>
      </c>
      <c r="C8" s="102" t="str">
        <f>IF(H44&lt;=0, "❌ ERROR: La Actividad 1 debe tener un tiempo mayor a 0.", IF(H21&gt;60, "❌ ERROR: El 'Área de Conocimiento' no puede exceder los 60 min.", IF((H10+H21+H44+H68)&lt;100, "❌ ERROR: El tiempo total debe ser de al menos 100 min.", "✅ VALIDACIÓN CORRECTA")))</f>
        <v>✅ VALIDACIÓN CORRECTA</v>
      </c>
      <c r="D8" s="35"/>
      <c r="E8" s="35"/>
      <c r="F8" s="35"/>
      <c r="G8" s="36"/>
      <c r="I8" s="6"/>
      <c r="J8" s="6"/>
      <c r="K8" s="6"/>
    </row>
    <row r="9" ht="15.75" customHeight="1"/>
    <row r="10" ht="15.75" customHeight="1">
      <c r="A10" s="103" t="s">
        <v>219</v>
      </c>
      <c r="G10" s="98" t="s">
        <v>178</v>
      </c>
      <c r="H10" s="104">
        <f>B13</f>
        <v>5</v>
      </c>
    </row>
    <row r="11" ht="15.75" customHeight="1">
      <c r="G11" s="89" t="s">
        <v>220</v>
      </c>
    </row>
    <row r="12" ht="15.75" customHeight="1">
      <c r="A12" s="92" t="s">
        <v>221</v>
      </c>
      <c r="B12" s="94" t="s">
        <v>278</v>
      </c>
      <c r="C12" s="35"/>
      <c r="D12" s="35"/>
      <c r="E12" s="35"/>
      <c r="F12" s="35"/>
      <c r="G12" s="35"/>
      <c r="H12" s="36"/>
    </row>
    <row r="13" ht="15.75" customHeight="1">
      <c r="A13" s="93" t="s">
        <v>178</v>
      </c>
      <c r="B13" s="94">
        <v>5.0</v>
      </c>
      <c r="C13" s="35"/>
      <c r="D13" s="35"/>
      <c r="E13" s="35"/>
      <c r="F13" s="35"/>
      <c r="G13" s="35"/>
      <c r="H13" s="36"/>
    </row>
    <row r="14" ht="15.75" customHeight="1">
      <c r="A14" s="118" t="s">
        <v>223</v>
      </c>
      <c r="B14" s="35"/>
      <c r="C14" s="35"/>
      <c r="D14" s="35"/>
      <c r="E14" s="35"/>
      <c r="F14" s="35"/>
      <c r="G14" s="35"/>
      <c r="H14" s="36"/>
    </row>
    <row r="15" ht="15.75" customHeight="1">
      <c r="A15" s="130" t="s">
        <v>279</v>
      </c>
      <c r="B15" s="61"/>
      <c r="C15" s="61"/>
      <c r="D15" s="61"/>
      <c r="E15" s="61"/>
      <c r="F15" s="61"/>
      <c r="G15" s="61"/>
      <c r="H15" s="62"/>
    </row>
    <row r="16" ht="15.75" customHeight="1">
      <c r="A16" s="63"/>
      <c r="B16" s="64"/>
      <c r="C16" s="64"/>
      <c r="D16" s="64"/>
      <c r="E16" s="64"/>
      <c r="F16" s="64"/>
      <c r="G16" s="64"/>
      <c r="H16" s="65"/>
    </row>
    <row r="17" ht="15.75" customHeight="1">
      <c r="A17" s="118" t="s">
        <v>225</v>
      </c>
      <c r="B17" s="35"/>
      <c r="C17" s="35"/>
      <c r="D17" s="35"/>
      <c r="E17" s="35"/>
      <c r="F17" s="35"/>
      <c r="G17" s="35"/>
      <c r="H17" s="36"/>
    </row>
    <row r="18" ht="15.75" customHeight="1">
      <c r="A18" s="130" t="s">
        <v>280</v>
      </c>
      <c r="B18" s="61"/>
      <c r="C18" s="61"/>
      <c r="D18" s="61"/>
      <c r="E18" s="61"/>
      <c r="F18" s="61"/>
      <c r="G18" s="61"/>
      <c r="H18" s="62"/>
    </row>
    <row r="19" ht="15.75" customHeight="1">
      <c r="A19" s="63"/>
      <c r="B19" s="64"/>
      <c r="C19" s="64"/>
      <c r="D19" s="64"/>
      <c r="E19" s="64"/>
      <c r="F19" s="64"/>
      <c r="G19" s="64"/>
      <c r="H19" s="65"/>
    </row>
    <row r="20" ht="15.75" customHeight="1"/>
    <row r="21" ht="15.75" customHeight="1">
      <c r="A21" s="103" t="s">
        <v>227</v>
      </c>
      <c r="G21" s="98" t="s">
        <v>178</v>
      </c>
      <c r="H21" s="104">
        <f>SUM(D39:H42)</f>
        <v>50</v>
      </c>
      <c r="I21" s="6"/>
    </row>
    <row r="22" ht="15.75" customHeight="1">
      <c r="G22" s="89" t="s">
        <v>228</v>
      </c>
    </row>
    <row r="23" ht="15.75" customHeight="1">
      <c r="A23" s="92" t="s">
        <v>229</v>
      </c>
      <c r="B23" s="94" t="s">
        <v>80</v>
      </c>
      <c r="C23" s="35"/>
      <c r="D23" s="35"/>
      <c r="E23" s="35"/>
      <c r="F23" s="35"/>
      <c r="G23" s="35"/>
      <c r="H23" s="36"/>
    </row>
    <row r="24" ht="15.75" customHeight="1">
      <c r="A24" s="92" t="s">
        <v>229</v>
      </c>
      <c r="B24" s="94" t="s">
        <v>80</v>
      </c>
      <c r="C24" s="35"/>
      <c r="D24" s="35"/>
      <c r="E24" s="35"/>
      <c r="F24" s="35"/>
      <c r="G24" s="35"/>
      <c r="H24" s="36"/>
    </row>
    <row r="25" ht="15.75" customHeight="1"/>
    <row r="26" ht="15.75" customHeight="1">
      <c r="A26" s="110" t="s">
        <v>230</v>
      </c>
      <c r="B26" s="6"/>
      <c r="C26" s="6"/>
      <c r="D26" s="6"/>
    </row>
    <row r="27" ht="15.75" customHeight="1">
      <c r="A27" s="126" t="s">
        <v>73</v>
      </c>
      <c r="B27" s="127" t="s">
        <v>231</v>
      </c>
      <c r="C27" s="36"/>
      <c r="D27" s="127" t="s">
        <v>232</v>
      </c>
      <c r="E27" s="36"/>
      <c r="F27" s="127" t="s">
        <v>233</v>
      </c>
      <c r="G27" s="35"/>
      <c r="H27" s="36"/>
    </row>
    <row r="28" ht="15.75" customHeight="1">
      <c r="A28" s="46">
        <v>1.0</v>
      </c>
      <c r="B28" s="91" t="str">
        <f>IFERROR(__xludf.DUMMYFUNCTION("FILTER('Diseño'!D:D,'Diseño'!H:H=$C$5)"),"1.  Base de datos ")</f>
        <v>1.  Base de datos </v>
      </c>
      <c r="C28" s="36"/>
      <c r="D28" s="91" t="s">
        <v>82</v>
      </c>
      <c r="E28" s="36"/>
      <c r="F28" s="131" t="s">
        <v>281</v>
      </c>
      <c r="G28" s="64"/>
      <c r="H28" s="65"/>
    </row>
    <row r="29" ht="15.75" customHeight="1">
      <c r="A29" s="46">
        <v>2.0</v>
      </c>
      <c r="B29" s="91" t="str">
        <f>IFERROR(__xludf.DUMMYFUNCTION("""COMPUTED_VALUE"""),"1.  Base de datos ")</f>
        <v>1.  Base de datos </v>
      </c>
      <c r="C29" s="36"/>
      <c r="D29" s="72" t="s">
        <v>282</v>
      </c>
      <c r="E29" s="72"/>
      <c r="F29" s="131" t="s">
        <v>283</v>
      </c>
      <c r="G29" s="64"/>
      <c r="H29" s="65"/>
    </row>
    <row r="30" ht="15.75" customHeight="1">
      <c r="A30" s="46">
        <v>3.0</v>
      </c>
      <c r="B30" s="91" t="str">
        <f>IFERROR(__xludf.DUMMYFUNCTION("""COMPUTED_VALUE"""),"1.  Base de datos ")</f>
        <v>1.  Base de datos </v>
      </c>
      <c r="C30" s="36"/>
      <c r="D30" s="72" t="s">
        <v>284</v>
      </c>
      <c r="E30" s="72"/>
      <c r="F30" s="131" t="s">
        <v>285</v>
      </c>
      <c r="G30" s="64"/>
      <c r="H30" s="65"/>
    </row>
    <row r="31" ht="15.75" customHeight="1">
      <c r="A31" s="46">
        <v>4.0</v>
      </c>
      <c r="B31" s="91" t="str">
        <f>IFERROR(__xludf.DUMMYFUNCTION("""COMPUTED_VALUE"""),"1.  Base de datos ")</f>
        <v>1.  Base de datos </v>
      </c>
      <c r="C31" s="36"/>
      <c r="D31" s="91" t="s">
        <v>286</v>
      </c>
      <c r="E31" s="36"/>
      <c r="F31" s="131" t="s">
        <v>287</v>
      </c>
      <c r="G31" s="64"/>
      <c r="H31" s="65"/>
    </row>
    <row r="32" ht="15.75" customHeight="1">
      <c r="A32" s="46">
        <v>5.0</v>
      </c>
      <c r="B32" s="91" t="str">
        <f>IFERROR(__xludf.DUMMYFUNCTION("""COMPUTED_VALUE"""),"1.  Base de datos ")</f>
        <v>1.  Base de datos </v>
      </c>
      <c r="C32" s="36"/>
      <c r="D32" s="91" t="s">
        <v>288</v>
      </c>
      <c r="E32" s="36"/>
      <c r="F32" s="131" t="s">
        <v>289</v>
      </c>
      <c r="G32" s="64"/>
      <c r="H32" s="65"/>
    </row>
    <row r="33" ht="15.75" customHeight="1">
      <c r="A33" s="46">
        <v>6.0</v>
      </c>
      <c r="B33" s="91" t="str">
        <f>IFERROR(__xludf.DUMMYFUNCTION("""COMPUTED_VALUE"""),"1.  Base de datos ")</f>
        <v>1.  Base de datos </v>
      </c>
      <c r="C33" s="36"/>
      <c r="D33" s="72" t="s">
        <v>290</v>
      </c>
      <c r="E33" s="72"/>
      <c r="F33" s="131" t="s">
        <v>291</v>
      </c>
      <c r="G33" s="64"/>
      <c r="H33" s="65"/>
    </row>
    <row r="34" ht="15.75" customHeight="1">
      <c r="A34" s="46">
        <v>7.0</v>
      </c>
      <c r="B34" s="91" t="str">
        <f>IFERROR(__xludf.DUMMYFUNCTION("""COMPUTED_VALUE"""),"1.  Base de datos ")</f>
        <v>1.  Base de datos </v>
      </c>
      <c r="C34" s="36"/>
      <c r="D34" s="72" t="s">
        <v>292</v>
      </c>
      <c r="E34" s="72"/>
      <c r="F34" s="131" t="s">
        <v>293</v>
      </c>
      <c r="G34" s="64"/>
      <c r="H34" s="65"/>
    </row>
    <row r="35" ht="15.75" customHeight="1">
      <c r="B35" s="31" t="str">
        <f>IFERROR(__xludf.DUMMYFUNCTION("""COMPUTED_VALUE"""),"1.  Base de datos ")</f>
        <v>1.  Base de datos </v>
      </c>
    </row>
    <row r="36" ht="15.75" customHeight="1">
      <c r="A36" s="110" t="s">
        <v>237</v>
      </c>
    </row>
    <row r="37" ht="15.75" customHeight="1">
      <c r="A37" s="6"/>
      <c r="B37" s="6"/>
      <c r="C37" s="6"/>
      <c r="D37" s="6"/>
      <c r="E37" s="6"/>
      <c r="F37" s="6"/>
      <c r="G37" s="6"/>
      <c r="H37" s="6"/>
    </row>
    <row r="38">
      <c r="A38" s="126" t="s">
        <v>238</v>
      </c>
      <c r="B38" s="126" t="s">
        <v>33</v>
      </c>
      <c r="C38" s="128" t="s">
        <v>270</v>
      </c>
      <c r="D38" s="124" t="s">
        <v>271</v>
      </c>
      <c r="E38" s="35"/>
      <c r="F38" s="35"/>
      <c r="G38" s="35"/>
      <c r="H38" s="36"/>
      <c r="I38" s="115" t="s">
        <v>18</v>
      </c>
    </row>
    <row r="39" ht="15.75" customHeight="1">
      <c r="A39" s="70" t="s">
        <v>240</v>
      </c>
      <c r="B39" s="70" t="s">
        <v>241</v>
      </c>
      <c r="C39" s="70">
        <v>30.0</v>
      </c>
      <c r="D39" s="94">
        <v>30.0</v>
      </c>
      <c r="E39" s="35"/>
      <c r="F39" s="35"/>
      <c r="G39" s="35"/>
      <c r="H39" s="36"/>
      <c r="I39" s="70" t="str">
        <f t="shared" ref="I39:I42" si="1">IF(D39&lt;=C39,"Correcto", "Corregir")</f>
        <v>Correcto</v>
      </c>
    </row>
    <row r="40" ht="15.75" customHeight="1">
      <c r="A40" s="70" t="s">
        <v>243</v>
      </c>
      <c r="B40" s="70" t="s">
        <v>241</v>
      </c>
      <c r="C40" s="70">
        <v>6.0</v>
      </c>
      <c r="D40" s="94">
        <v>5.0</v>
      </c>
      <c r="E40" s="35"/>
      <c r="F40" s="35"/>
      <c r="G40" s="35"/>
      <c r="H40" s="36"/>
      <c r="I40" s="70" t="str">
        <f t="shared" si="1"/>
        <v>Correcto</v>
      </c>
    </row>
    <row r="41" ht="15.75" customHeight="1">
      <c r="A41" s="70" t="s">
        <v>244</v>
      </c>
      <c r="B41" s="70" t="s">
        <v>245</v>
      </c>
      <c r="C41" s="70">
        <v>10.0</v>
      </c>
      <c r="D41" s="94">
        <v>0.0</v>
      </c>
      <c r="E41" s="35"/>
      <c r="F41" s="35"/>
      <c r="G41" s="35"/>
      <c r="H41" s="36"/>
      <c r="I41" s="70" t="str">
        <f t="shared" si="1"/>
        <v>Correcto</v>
      </c>
    </row>
    <row r="42" ht="15.75" customHeight="1">
      <c r="A42" s="70" t="s">
        <v>247</v>
      </c>
      <c r="B42" s="70" t="s">
        <v>241</v>
      </c>
      <c r="C42" s="70">
        <v>30.0</v>
      </c>
      <c r="D42" s="94">
        <v>15.0</v>
      </c>
      <c r="E42" s="35"/>
      <c r="F42" s="35"/>
      <c r="G42" s="35"/>
      <c r="H42" s="36"/>
      <c r="I42" s="70" t="str">
        <f t="shared" si="1"/>
        <v>Correcto</v>
      </c>
    </row>
    <row r="43" ht="15.75" customHeight="1"/>
    <row r="44" ht="15.75" customHeight="1">
      <c r="A44" s="103" t="s">
        <v>249</v>
      </c>
      <c r="G44" s="98" t="s">
        <v>178</v>
      </c>
      <c r="H44" s="104">
        <f>B50</f>
        <v>30</v>
      </c>
    </row>
    <row r="45" ht="15.75" customHeight="1">
      <c r="G45" s="89" t="s">
        <v>250</v>
      </c>
    </row>
    <row r="46" ht="15.75" customHeight="1">
      <c r="A46" s="89" t="s">
        <v>251</v>
      </c>
    </row>
    <row r="47">
      <c r="A47" s="92" t="s">
        <v>252</v>
      </c>
      <c r="B47" s="94" t="s">
        <v>80</v>
      </c>
      <c r="C47" s="35"/>
      <c r="D47" s="35"/>
      <c r="E47" s="35"/>
      <c r="F47" s="35"/>
      <c r="G47" s="35"/>
      <c r="H47" s="36"/>
    </row>
    <row r="48" ht="15.75" customHeight="1">
      <c r="A48" s="92" t="s">
        <v>8</v>
      </c>
      <c r="B48" s="84" t="s">
        <v>294</v>
      </c>
      <c r="C48" s="35"/>
      <c r="D48" s="35"/>
      <c r="E48" s="35"/>
      <c r="F48" s="35"/>
      <c r="G48" s="35"/>
      <c r="H48" s="36"/>
    </row>
    <row r="49" ht="15.75" customHeight="1">
      <c r="A49" s="92" t="s">
        <v>217</v>
      </c>
      <c r="B49" s="116">
        <v>8.0</v>
      </c>
      <c r="C49" s="35"/>
      <c r="D49" s="35"/>
      <c r="E49" s="35"/>
      <c r="F49" s="35"/>
      <c r="G49" s="35"/>
      <c r="H49" s="36"/>
    </row>
    <row r="50" ht="15.75" customHeight="1">
      <c r="A50" s="92" t="s">
        <v>178</v>
      </c>
      <c r="B50" s="94">
        <v>30.0</v>
      </c>
      <c r="C50" s="35"/>
      <c r="D50" s="35"/>
      <c r="E50" s="35"/>
      <c r="F50" s="35"/>
      <c r="G50" s="35"/>
      <c r="H50" s="36"/>
    </row>
    <row r="51" ht="15.75" customHeight="1">
      <c r="A51" s="117" t="s">
        <v>254</v>
      </c>
      <c r="B51" s="6"/>
      <c r="C51" s="6"/>
      <c r="D51" s="6"/>
      <c r="E51" s="6"/>
      <c r="F51" s="6"/>
      <c r="G51" s="6"/>
      <c r="H51" s="6"/>
    </row>
    <row r="52" ht="15.75" customHeight="1">
      <c r="A52" s="118" t="s">
        <v>255</v>
      </c>
      <c r="B52" s="35"/>
      <c r="C52" s="35"/>
      <c r="D52" s="35"/>
      <c r="E52" s="35"/>
      <c r="F52" s="35"/>
      <c r="G52" s="35"/>
      <c r="H52" s="36"/>
    </row>
    <row r="53" ht="15.75" customHeight="1">
      <c r="A53" s="119" t="s">
        <v>295</v>
      </c>
      <c r="B53" s="61"/>
      <c r="C53" s="61"/>
      <c r="D53" s="61"/>
      <c r="E53" s="61"/>
      <c r="F53" s="61"/>
      <c r="G53" s="61"/>
      <c r="H53" s="62"/>
    </row>
    <row r="54" ht="15.75" customHeight="1">
      <c r="A54" s="120"/>
      <c r="H54" s="121"/>
    </row>
    <row r="55" ht="15.75" customHeight="1">
      <c r="A55" s="63"/>
      <c r="B55" s="64"/>
      <c r="C55" s="64"/>
      <c r="D55" s="64"/>
      <c r="E55" s="64"/>
      <c r="F55" s="64"/>
      <c r="G55" s="64"/>
      <c r="H55" s="65"/>
    </row>
    <row r="56" ht="15.75" customHeight="1"/>
    <row r="57" ht="15.75" customHeight="1">
      <c r="A57" s="89" t="s">
        <v>257</v>
      </c>
    </row>
    <row r="58">
      <c r="A58" s="92" t="s">
        <v>252</v>
      </c>
      <c r="B58" s="94" t="s">
        <v>105</v>
      </c>
      <c r="C58" s="35"/>
      <c r="D58" s="35"/>
      <c r="E58" s="35"/>
      <c r="F58" s="35"/>
      <c r="G58" s="35"/>
      <c r="H58" s="36"/>
    </row>
    <row r="59" ht="15.75" customHeight="1">
      <c r="A59" s="92" t="s">
        <v>8</v>
      </c>
      <c r="B59" s="94" t="s">
        <v>274</v>
      </c>
      <c r="C59" s="35"/>
      <c r="D59" s="35"/>
      <c r="E59" s="35"/>
      <c r="F59" s="35"/>
      <c r="G59" s="35"/>
      <c r="H59" s="36"/>
    </row>
    <row r="60" ht="15.75" customHeight="1">
      <c r="A60" s="92" t="s">
        <v>217</v>
      </c>
      <c r="B60" s="116">
        <v>0.0</v>
      </c>
      <c r="C60" s="35"/>
      <c r="D60" s="35"/>
      <c r="E60" s="35"/>
      <c r="F60" s="35"/>
      <c r="G60" s="35"/>
      <c r="H60" s="36"/>
    </row>
    <row r="61" ht="15.75" customHeight="1">
      <c r="A61" s="92" t="s">
        <v>178</v>
      </c>
      <c r="B61" s="30">
        <v>10.0</v>
      </c>
      <c r="C61" s="132"/>
      <c r="D61" s="132"/>
      <c r="E61" s="132"/>
      <c r="F61" s="132"/>
      <c r="G61" s="132"/>
      <c r="H61" s="133"/>
    </row>
    <row r="62" ht="15.75" customHeight="1">
      <c r="A62" s="123" t="s">
        <v>259</v>
      </c>
      <c r="B62" s="6"/>
      <c r="C62" s="6"/>
      <c r="D62" s="6"/>
      <c r="E62" s="6"/>
      <c r="F62" s="6"/>
      <c r="G62" s="6"/>
      <c r="H62" s="6"/>
    </row>
    <row r="63" ht="15.75" customHeight="1">
      <c r="A63" s="118" t="s">
        <v>255</v>
      </c>
      <c r="B63" s="35"/>
      <c r="C63" s="35"/>
      <c r="D63" s="35"/>
      <c r="E63" s="35"/>
      <c r="F63" s="35"/>
      <c r="G63" s="35"/>
      <c r="H63" s="36"/>
    </row>
    <row r="64" ht="15.75" customHeight="1">
      <c r="A64" s="119" t="s">
        <v>296</v>
      </c>
      <c r="B64" s="61"/>
      <c r="C64" s="61"/>
      <c r="D64" s="61"/>
      <c r="E64" s="61"/>
      <c r="F64" s="61"/>
      <c r="G64" s="61"/>
      <c r="H64" s="62"/>
    </row>
    <row r="65" ht="15.75" customHeight="1">
      <c r="A65" s="120"/>
      <c r="H65" s="121"/>
    </row>
    <row r="66" ht="15.75" customHeight="1">
      <c r="A66" s="63"/>
      <c r="B66" s="64"/>
      <c r="C66" s="64"/>
      <c r="D66" s="64"/>
      <c r="E66" s="64"/>
      <c r="F66" s="64"/>
      <c r="G66" s="64"/>
      <c r="H66" s="65"/>
    </row>
    <row r="67" ht="15.75" customHeight="1"/>
    <row r="68" ht="15.75" customHeight="1">
      <c r="A68" s="103" t="s">
        <v>261</v>
      </c>
      <c r="G68" s="98" t="s">
        <v>178</v>
      </c>
      <c r="H68" s="104">
        <f>B70</f>
        <v>15</v>
      </c>
    </row>
    <row r="69" ht="15.75" customHeight="1">
      <c r="G69" s="89" t="s">
        <v>262</v>
      </c>
    </row>
    <row r="70" ht="15.75" customHeight="1">
      <c r="A70" s="92" t="s">
        <v>178</v>
      </c>
      <c r="B70" s="116">
        <v>15.0</v>
      </c>
      <c r="C70" s="35"/>
      <c r="D70" s="35"/>
      <c r="E70" s="35"/>
      <c r="F70" s="35"/>
      <c r="G70" s="35"/>
      <c r="H70" s="36"/>
    </row>
    <row r="71" ht="15.75" customHeight="1">
      <c r="A71" s="124" t="s">
        <v>263</v>
      </c>
      <c r="B71" s="35"/>
      <c r="C71" s="35"/>
      <c r="D71" s="35"/>
      <c r="E71" s="35"/>
      <c r="F71" s="35"/>
      <c r="G71" s="35"/>
      <c r="H71" s="36"/>
    </row>
    <row r="72" ht="15.75" customHeight="1">
      <c r="A72" s="119" t="s">
        <v>297</v>
      </c>
      <c r="B72" s="61"/>
      <c r="C72" s="61"/>
      <c r="D72" s="61"/>
      <c r="E72" s="61"/>
      <c r="F72" s="61"/>
      <c r="G72" s="61"/>
      <c r="H72" s="62"/>
    </row>
    <row r="73" ht="15.75" customHeight="1">
      <c r="A73" s="63"/>
      <c r="B73" s="64"/>
      <c r="C73" s="64"/>
      <c r="D73" s="64"/>
      <c r="E73" s="64"/>
      <c r="F73" s="64"/>
      <c r="G73" s="64"/>
      <c r="H73" s="65"/>
    </row>
    <row r="74" ht="15.75" customHeight="1">
      <c r="A74" s="89" t="s">
        <v>265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6">
    <mergeCell ref="A44:F44"/>
    <mergeCell ref="B47:H47"/>
    <mergeCell ref="B48:H48"/>
    <mergeCell ref="B49:H49"/>
    <mergeCell ref="B50:H50"/>
    <mergeCell ref="A52:H52"/>
    <mergeCell ref="A53:H55"/>
    <mergeCell ref="A71:H71"/>
    <mergeCell ref="A72:H73"/>
    <mergeCell ref="B58:H58"/>
    <mergeCell ref="B59:H59"/>
    <mergeCell ref="B60:H60"/>
    <mergeCell ref="A63:H63"/>
    <mergeCell ref="A64:H66"/>
    <mergeCell ref="A68:F68"/>
    <mergeCell ref="B70:H70"/>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F28:H28"/>
    <mergeCell ref="F29:H29"/>
    <mergeCell ref="B24:H24"/>
    <mergeCell ref="B27:C27"/>
    <mergeCell ref="D27:E27"/>
    <mergeCell ref="F27:H27"/>
    <mergeCell ref="B28:C28"/>
    <mergeCell ref="D28:E28"/>
    <mergeCell ref="B29:C29"/>
    <mergeCell ref="B32:C32"/>
    <mergeCell ref="B33:C33"/>
    <mergeCell ref="B34:C34"/>
    <mergeCell ref="B30:C30"/>
    <mergeCell ref="F30:H30"/>
    <mergeCell ref="B31:C31"/>
    <mergeCell ref="D31:E31"/>
    <mergeCell ref="F31:H31"/>
    <mergeCell ref="D32:E32"/>
    <mergeCell ref="F32:H32"/>
    <mergeCell ref="F33:H33"/>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216</v>
      </c>
    </row>
    <row r="3" ht="15.75" customHeight="1"/>
    <row r="4" ht="15.75" customHeight="1">
      <c r="B4" s="83" t="s">
        <v>1</v>
      </c>
      <c r="C4" s="100" t="str">
        <f>'Diseño'!C4</f>
        <v>667 - Programacion Comercial 1</v>
      </c>
      <c r="D4" s="35"/>
      <c r="E4" s="35"/>
      <c r="F4" s="35"/>
      <c r="G4" s="36"/>
    </row>
    <row r="5" ht="15.75" customHeight="1">
      <c r="B5" s="70" t="s">
        <v>79</v>
      </c>
      <c r="C5" s="84">
        <v>5.0</v>
      </c>
      <c r="D5" s="35"/>
      <c r="E5" s="35"/>
      <c r="F5" s="35"/>
      <c r="G5" s="36"/>
    </row>
    <row r="6" ht="15.75" customHeight="1">
      <c r="B6" s="101" t="s">
        <v>175</v>
      </c>
      <c r="C6" s="84">
        <f>H10+H21+H44+H68</f>
        <v>105</v>
      </c>
      <c r="D6" s="35"/>
      <c r="E6" s="35"/>
      <c r="F6" s="35"/>
      <c r="G6" s="36"/>
      <c r="I6" s="6"/>
    </row>
    <row r="7" ht="15.75" customHeight="1">
      <c r="B7" s="101" t="s">
        <v>217</v>
      </c>
      <c r="C7" s="84">
        <f>B49+B60</f>
        <v>2</v>
      </c>
      <c r="D7" s="35"/>
      <c r="E7" s="35"/>
      <c r="F7" s="35"/>
      <c r="G7" s="36"/>
    </row>
    <row r="8" ht="15.75" customHeight="1">
      <c r="B8" s="101" t="s">
        <v>218</v>
      </c>
      <c r="C8" s="102" t="str">
        <f>IF(H44&lt;=0, "❌ ERROR: La Actividad 1 debe tener un tiempo mayor a 0.", IF(H21&gt;60, "❌ ERROR: El 'Área de Conocimiento' no puede exceder los 60 min.", IF((H10+H21+H44+H68)&lt;100, "❌ ERROR: El tiempo total debe ser de al menos 100 min.", "✅ VALIDACIÓN CORRECTA")))</f>
        <v>✅ VALIDACIÓN CORRECTA</v>
      </c>
      <c r="D8" s="35"/>
      <c r="E8" s="35"/>
      <c r="F8" s="35"/>
      <c r="G8" s="36"/>
      <c r="I8" s="6"/>
      <c r="J8" s="6"/>
      <c r="K8" s="6"/>
    </row>
    <row r="9" ht="15.75" customHeight="1"/>
    <row r="10" ht="15.75" customHeight="1">
      <c r="A10" s="103" t="s">
        <v>219</v>
      </c>
      <c r="G10" s="98" t="s">
        <v>178</v>
      </c>
      <c r="H10" s="104">
        <f>B13</f>
        <v>5</v>
      </c>
    </row>
    <row r="11" ht="15.75" customHeight="1">
      <c r="G11" s="89" t="s">
        <v>220</v>
      </c>
    </row>
    <row r="12" ht="15.75" customHeight="1">
      <c r="A12" s="90" t="s">
        <v>221</v>
      </c>
      <c r="B12" s="91" t="s">
        <v>266</v>
      </c>
      <c r="C12" s="35"/>
      <c r="D12" s="35"/>
      <c r="E12" s="35"/>
      <c r="F12" s="35"/>
      <c r="G12" s="35"/>
      <c r="H12" s="36"/>
    </row>
    <row r="13" ht="15.75" customHeight="1">
      <c r="A13" s="105" t="s">
        <v>178</v>
      </c>
      <c r="B13" s="97">
        <v>5.0</v>
      </c>
      <c r="C13" s="35"/>
      <c r="D13" s="35"/>
      <c r="E13" s="35"/>
      <c r="F13" s="35"/>
      <c r="G13" s="35"/>
      <c r="H13" s="36"/>
    </row>
    <row r="14" ht="15.75" customHeight="1">
      <c r="A14" s="107" t="s">
        <v>223</v>
      </c>
      <c r="B14" s="35"/>
      <c r="C14" s="35"/>
      <c r="D14" s="35"/>
      <c r="E14" s="35"/>
      <c r="F14" s="35"/>
      <c r="G14" s="35"/>
      <c r="H14" s="36"/>
    </row>
    <row r="15" ht="15.75" customHeight="1">
      <c r="A15" s="129" t="s">
        <v>298</v>
      </c>
      <c r="B15" s="61"/>
      <c r="C15" s="61"/>
      <c r="D15" s="61"/>
      <c r="E15" s="61"/>
      <c r="F15" s="61"/>
      <c r="G15" s="61"/>
      <c r="H15" s="62"/>
    </row>
    <row r="16" ht="15.75" customHeight="1">
      <c r="A16" s="63"/>
      <c r="B16" s="64"/>
      <c r="C16" s="64"/>
      <c r="D16" s="64"/>
      <c r="E16" s="64"/>
      <c r="F16" s="64"/>
      <c r="G16" s="64"/>
      <c r="H16" s="65"/>
    </row>
    <row r="17" ht="15.75" customHeight="1">
      <c r="A17" s="107" t="s">
        <v>225</v>
      </c>
      <c r="B17" s="35"/>
      <c r="C17" s="35"/>
      <c r="D17" s="35"/>
      <c r="E17" s="35"/>
      <c r="F17" s="35"/>
      <c r="G17" s="35"/>
      <c r="H17" s="36"/>
    </row>
    <row r="18" ht="28.5" customHeight="1">
      <c r="A18" s="125" t="s">
        <v>299</v>
      </c>
      <c r="B18" s="61"/>
      <c r="C18" s="61"/>
      <c r="D18" s="61"/>
      <c r="E18" s="61"/>
      <c r="F18" s="61"/>
      <c r="G18" s="61"/>
      <c r="H18" s="62"/>
    </row>
    <row r="19" ht="15.75" customHeight="1">
      <c r="A19" s="63"/>
      <c r="B19" s="64"/>
      <c r="C19" s="64"/>
      <c r="D19" s="64"/>
      <c r="E19" s="64"/>
      <c r="F19" s="64"/>
      <c r="G19" s="64"/>
      <c r="H19" s="65"/>
    </row>
    <row r="20" ht="15.75" customHeight="1"/>
    <row r="21" ht="15.75" customHeight="1">
      <c r="A21" s="103" t="s">
        <v>227</v>
      </c>
      <c r="G21" s="98" t="s">
        <v>178</v>
      </c>
      <c r="H21" s="104">
        <f>SUM(D39:H42)</f>
        <v>60</v>
      </c>
      <c r="I21" s="6"/>
    </row>
    <row r="22" ht="15.75" customHeight="1">
      <c r="G22" s="89" t="s">
        <v>228</v>
      </c>
    </row>
    <row r="23" ht="15.75" customHeight="1">
      <c r="A23" s="92" t="s">
        <v>229</v>
      </c>
      <c r="B23" s="94" t="s">
        <v>80</v>
      </c>
      <c r="C23" s="35"/>
      <c r="D23" s="35"/>
      <c r="E23" s="35"/>
      <c r="F23" s="35"/>
      <c r="G23" s="35"/>
      <c r="H23" s="36"/>
    </row>
    <row r="24" ht="15.75" customHeight="1">
      <c r="A24" s="92" t="s">
        <v>229</v>
      </c>
      <c r="B24" s="94" t="s">
        <v>105</v>
      </c>
      <c r="C24" s="35"/>
      <c r="D24" s="35"/>
      <c r="E24" s="35"/>
      <c r="F24" s="35"/>
      <c r="G24" s="35"/>
      <c r="H24" s="36"/>
    </row>
    <row r="25" ht="15.75" customHeight="1"/>
    <row r="26" ht="15.75" customHeight="1">
      <c r="A26" s="110" t="s">
        <v>230</v>
      </c>
      <c r="B26" s="6"/>
      <c r="C26" s="6"/>
      <c r="D26" s="6"/>
    </row>
    <row r="27" ht="15.75" customHeight="1">
      <c r="A27" s="126" t="s">
        <v>73</v>
      </c>
      <c r="B27" s="127" t="s">
        <v>231</v>
      </c>
      <c r="C27" s="36"/>
      <c r="D27" s="127" t="s">
        <v>232</v>
      </c>
      <c r="E27" s="36"/>
      <c r="F27" s="127" t="s">
        <v>233</v>
      </c>
      <c r="G27" s="35"/>
      <c r="H27" s="36"/>
    </row>
    <row r="28" ht="15.75" customHeight="1">
      <c r="A28" s="70">
        <v>1.0</v>
      </c>
      <c r="B28" s="84" t="str">
        <f>IFERROR(__xludf.DUMMYFUNCTION("FILTER('Diseño'!D:D,'Diseño'!H:H=$C$5)"),"1.  Base de datos ")</f>
        <v>1.  Base de datos </v>
      </c>
      <c r="C28" s="36"/>
      <c r="D28" s="84" t="str">
        <f>IFERROR(__xludf.DUMMYFUNCTION("FILTER('Diseño'!E:E,'Diseño'!H:H=$C$5)"),"Tipos de datos y consultas basicas")</f>
        <v>Tipos de datos y consultas basicas</v>
      </c>
      <c r="E28" s="36"/>
      <c r="F28" s="84" t="str">
        <f>IFERROR(__xludf.DUMMYFUNCTION("FILTER('Diseño'!F:F,'Diseño'!H:H=$C$5)"),"INT/SMALLINT/BIGINT, DECIMAL vs MONEY, exactos vs aproximados")</f>
        <v>INT/SMALLINT/BIGINT, DECIMAL vs MONEY, exactos vs aproximados</v>
      </c>
      <c r="G28" s="35"/>
      <c r="H28" s="36"/>
    </row>
    <row r="29" ht="15.75" customHeight="1">
      <c r="A29" s="70">
        <v>2.0</v>
      </c>
      <c r="B29" s="84" t="str">
        <f>IFERROR(__xludf.DUMMYFUNCTION("""COMPUTED_VALUE"""),"1.  Base de datos ")</f>
        <v>1.  Base de datos </v>
      </c>
      <c r="C29" s="36"/>
      <c r="D29" s="84" t="str">
        <f>IFERROR(__xludf.DUMMYFUNCTION("""COMPUTED_VALUE"""),"Tipos de datos y consultas basicas")</f>
        <v>Tipos de datos y consultas basicas</v>
      </c>
      <c r="E29" s="36"/>
      <c r="F29" s="84" t="str">
        <f>IFERROR(__xludf.DUMMYFUNCTION("""COMPUTED_VALUE"""),"Precisión, usos y defaults (SYSDATETIME/SYSUTCDATETIME)")</f>
        <v>Precisión, usos y defaults (SYSDATETIME/SYSUTCDATETIME)</v>
      </c>
      <c r="G29" s="35"/>
      <c r="H29" s="36"/>
    </row>
    <row r="30" ht="15.75" customHeight="1">
      <c r="A30" s="70">
        <v>3.0</v>
      </c>
      <c r="B30" s="84" t="str">
        <f>IFERROR(__xludf.DUMMYFUNCTION("""COMPUTED_VALUE"""),"1.  Base de datos ")</f>
        <v>1.  Base de datos </v>
      </c>
      <c r="C30" s="36"/>
      <c r="D30" s="84" t="str">
        <f>IFERROR(__xludf.DUMMYFUNCTION("""COMPUTED_VALUE"""),"Tipos de datos y consultas basicas")</f>
        <v>Tipos de datos y consultas basicas</v>
      </c>
      <c r="E30" s="36"/>
      <c r="F30" s="84" t="str">
        <f>IFERROR(__xludf.DUMMYFUNCTION("""COMPUTED_VALUE"""),"Unicode, collation, longitud fija vs variable")</f>
        <v>Unicode, collation, longitud fija vs variable</v>
      </c>
      <c r="G30" s="35"/>
      <c r="H30" s="36"/>
    </row>
    <row r="31" ht="15.75" customHeight="1">
      <c r="A31" s="70">
        <v>4.0</v>
      </c>
      <c r="B31" s="84" t="str">
        <f>IFERROR(__xludf.DUMMYFUNCTION("""COMPUTED_VALUE"""),"1.  Base de datos ")</f>
        <v>1.  Base de datos </v>
      </c>
      <c r="C31" s="36"/>
      <c r="D31" s="84" t="str">
        <f>IFERROR(__xludf.DUMMYFUNCTION("""COMPUTED_VALUE"""),"Tipos de datos y consultas basicas")</f>
        <v>Tipos de datos y consultas basicas</v>
      </c>
      <c r="E31" s="36"/>
      <c r="F31" s="84" t="str">
        <f>IFERROR(__xludf.DUMMYFUNCTION("""COMPUTED_VALUE"""),"Elección en OLTP, impacto en índices")</f>
        <v>Elección en OLTP, impacto en índices</v>
      </c>
      <c r="G31" s="35"/>
      <c r="H31" s="36"/>
    </row>
    <row r="32" ht="15.75" customHeight="1">
      <c r="A32" s="70">
        <v>5.0</v>
      </c>
      <c r="B32" s="84" t="str">
        <f>IFERROR(__xludf.DUMMYFUNCTION("""COMPUTED_VALUE"""),"1.  Base de datos ")</f>
        <v>1.  Base de datos </v>
      </c>
      <c r="C32" s="36"/>
      <c r="D32" s="84" t="str">
        <f>IFERROR(__xludf.DUMMYFUNCTION("""COMPUTED_VALUE"""),"Tipos de datos y consultas basicas")</f>
        <v>Tipos de datos y consultas basicas</v>
      </c>
      <c r="E32" s="36"/>
      <c r="F32" s="84" t="str">
        <f>IFERROR(__xludf.DUMMYFUNCTION("""COMPUTED_VALUE"""),"Cuándo usar cada una; costos y estadísticas")</f>
        <v>Cuándo usar cada una; costos y estadísticas</v>
      </c>
      <c r="G32" s="35"/>
      <c r="H32" s="36"/>
    </row>
    <row r="33" ht="15.75" customHeight="1">
      <c r="A33" s="70">
        <v>6.0</v>
      </c>
      <c r="B33" s="84" t="str">
        <f>IFERROR(__xludf.DUMMYFUNCTION("""COMPUTED_VALUE"""),"1.  Base de datos ")</f>
        <v>1.  Base de datos </v>
      </c>
      <c r="C33" s="36"/>
      <c r="D33" s="84" t="str">
        <f>IFERROR(__xludf.DUMMYFUNCTION("""COMPUTED_VALUE"""),"Tipos de datos y consultas basicas")</f>
        <v>Tipos de datos y consultas basicas</v>
      </c>
      <c r="E33" s="36"/>
      <c r="F33" s="84" t="str">
        <f>IFERROR(__xludf.DUMMYFUNCTION("""COMPUTED_VALUE"""),"Plantilla, reglas ON vs WHERE, filtros por fecha")</f>
        <v>Plantilla, reglas ON vs WHERE, filtros por fecha</v>
      </c>
      <c r="G33" s="35"/>
      <c r="H33" s="36"/>
    </row>
    <row r="34" ht="15.75" customHeight="1">
      <c r="A34" s="70">
        <v>7.0</v>
      </c>
      <c r="B34" s="84" t="str">
        <f>IFERROR(__xludf.DUMMYFUNCTION("""COMPUTED_VALUE"""),"1.  Base de datos ")</f>
        <v>1.  Base de datos </v>
      </c>
      <c r="C34" s="36"/>
      <c r="D34" s="84" t="str">
        <f>IFERROR(__xludf.DUMMYFUNCTION("""COMPUTED_VALUE"""),"Tipos de datos y consultas basicas")</f>
        <v>Tipos de datos y consultas basicas</v>
      </c>
      <c r="E34" s="36"/>
      <c r="F34" s="84" t="str">
        <f>IFERROR(__xludf.DUMMYFUNCTION("""COMPUTED_VALUE"""),"Ventanas (ROW_NUMBER, SUM OVER), SCOPE_IDENTITY(), TRY/CATCH + TRAN")</f>
        <v>Ventanas (ROW_NUMBER, SUM OVER), SCOPE_IDENTITY(), TRY/CATCH + TRAN</v>
      </c>
      <c r="G34" s="35"/>
      <c r="H34" s="36"/>
    </row>
    <row r="35" ht="15.75" customHeight="1"/>
    <row r="36" ht="15.75" customHeight="1">
      <c r="A36" s="110" t="s">
        <v>237</v>
      </c>
    </row>
    <row r="37" ht="15.75" customHeight="1">
      <c r="A37" s="6"/>
      <c r="B37" s="6"/>
      <c r="C37" s="6"/>
      <c r="D37" s="6"/>
      <c r="E37" s="6"/>
      <c r="F37" s="6"/>
      <c r="G37" s="6"/>
      <c r="H37" s="6"/>
    </row>
    <row r="38">
      <c r="A38" s="126" t="s">
        <v>238</v>
      </c>
      <c r="B38" s="126" t="s">
        <v>33</v>
      </c>
      <c r="C38" s="128" t="s">
        <v>270</v>
      </c>
      <c r="D38" s="124" t="s">
        <v>271</v>
      </c>
      <c r="E38" s="35"/>
      <c r="F38" s="35"/>
      <c r="G38" s="35"/>
      <c r="H38" s="36"/>
      <c r="I38" s="115" t="s">
        <v>18</v>
      </c>
    </row>
    <row r="39" ht="15.75" customHeight="1">
      <c r="A39" s="70" t="s">
        <v>240</v>
      </c>
      <c r="B39" s="70" t="s">
        <v>241</v>
      </c>
      <c r="C39" s="70">
        <v>30.0</v>
      </c>
      <c r="D39" s="106">
        <v>30.0</v>
      </c>
      <c r="E39" s="35"/>
      <c r="F39" s="35"/>
      <c r="G39" s="35"/>
      <c r="H39" s="36"/>
      <c r="I39" s="70" t="str">
        <f t="shared" ref="I39:I42" si="1">IF(D39&lt;=C39,"Correcto", "Corregir")</f>
        <v>Correcto</v>
      </c>
    </row>
    <row r="40" ht="15.75" customHeight="1">
      <c r="A40" s="70" t="s">
        <v>243</v>
      </c>
      <c r="B40" s="70" t="s">
        <v>241</v>
      </c>
      <c r="C40" s="70">
        <v>6.0</v>
      </c>
      <c r="D40" s="97">
        <v>5.0</v>
      </c>
      <c r="E40" s="35"/>
      <c r="F40" s="35"/>
      <c r="G40" s="35"/>
      <c r="H40" s="36"/>
      <c r="I40" s="70" t="str">
        <f t="shared" si="1"/>
        <v>Correcto</v>
      </c>
    </row>
    <row r="41" ht="15.75" customHeight="1">
      <c r="A41" s="70" t="s">
        <v>244</v>
      </c>
      <c r="B41" s="70" t="s">
        <v>245</v>
      </c>
      <c r="C41" s="70">
        <v>10.0</v>
      </c>
      <c r="D41" s="97">
        <v>0.0</v>
      </c>
      <c r="E41" s="35"/>
      <c r="F41" s="35"/>
      <c r="G41" s="35"/>
      <c r="H41" s="36"/>
      <c r="I41" s="70" t="str">
        <f t="shared" si="1"/>
        <v>Correcto</v>
      </c>
    </row>
    <row r="42" ht="15.75" customHeight="1">
      <c r="A42" s="70" t="s">
        <v>247</v>
      </c>
      <c r="B42" s="70" t="s">
        <v>241</v>
      </c>
      <c r="C42" s="70">
        <v>30.0</v>
      </c>
      <c r="D42" s="106">
        <v>25.0</v>
      </c>
      <c r="E42" s="35"/>
      <c r="F42" s="35"/>
      <c r="G42" s="35"/>
      <c r="H42" s="36"/>
      <c r="I42" s="70" t="str">
        <f t="shared" si="1"/>
        <v>Correcto</v>
      </c>
    </row>
    <row r="43" ht="15.75" customHeight="1"/>
    <row r="44" ht="15.75" customHeight="1">
      <c r="A44" s="103" t="s">
        <v>249</v>
      </c>
      <c r="G44" s="98" t="s">
        <v>178</v>
      </c>
      <c r="H44" s="104">
        <f>B50</f>
        <v>30</v>
      </c>
    </row>
    <row r="45" ht="15.75" customHeight="1">
      <c r="G45" s="89" t="s">
        <v>250</v>
      </c>
    </row>
    <row r="46" ht="15.75" customHeight="1">
      <c r="A46" s="89" t="s">
        <v>251</v>
      </c>
    </row>
    <row r="47">
      <c r="A47" s="92" t="s">
        <v>252</v>
      </c>
      <c r="B47" s="94" t="s">
        <v>105</v>
      </c>
      <c r="C47" s="35"/>
      <c r="D47" s="35"/>
      <c r="E47" s="35"/>
      <c r="F47" s="35"/>
      <c r="G47" s="35"/>
      <c r="H47" s="36"/>
    </row>
    <row r="48" ht="15.75" customHeight="1">
      <c r="A48" s="92" t="s">
        <v>8</v>
      </c>
      <c r="B48" s="94" t="s">
        <v>294</v>
      </c>
      <c r="C48" s="35"/>
      <c r="D48" s="35"/>
      <c r="E48" s="35"/>
      <c r="F48" s="35"/>
      <c r="G48" s="35"/>
      <c r="H48" s="36"/>
    </row>
    <row r="49" ht="15.75" customHeight="1">
      <c r="A49" s="92" t="s">
        <v>217</v>
      </c>
      <c r="B49" s="116">
        <v>2.0</v>
      </c>
      <c r="C49" s="35"/>
      <c r="D49" s="35"/>
      <c r="E49" s="35"/>
      <c r="F49" s="35"/>
      <c r="G49" s="35"/>
      <c r="H49" s="36"/>
    </row>
    <row r="50" ht="15.75" customHeight="1">
      <c r="A50" s="92" t="s">
        <v>178</v>
      </c>
      <c r="B50" s="94">
        <v>30.0</v>
      </c>
      <c r="C50" s="35"/>
      <c r="D50" s="35"/>
      <c r="E50" s="35"/>
      <c r="F50" s="35"/>
      <c r="G50" s="35"/>
      <c r="H50" s="36"/>
    </row>
    <row r="51" ht="15.75" customHeight="1">
      <c r="A51" s="117" t="s">
        <v>254</v>
      </c>
      <c r="B51" s="6"/>
      <c r="C51" s="6"/>
      <c r="D51" s="6"/>
      <c r="E51" s="6"/>
      <c r="F51" s="6"/>
      <c r="G51" s="6"/>
      <c r="H51" s="6"/>
    </row>
    <row r="52" ht="15.75" customHeight="1">
      <c r="A52" s="118" t="s">
        <v>255</v>
      </c>
      <c r="B52" s="35"/>
      <c r="C52" s="35"/>
      <c r="D52" s="35"/>
      <c r="E52" s="35"/>
      <c r="F52" s="35"/>
      <c r="G52" s="35"/>
      <c r="H52" s="36"/>
    </row>
    <row r="53" ht="15.75" customHeight="1">
      <c r="A53" s="119" t="s">
        <v>300</v>
      </c>
      <c r="B53" s="61"/>
      <c r="C53" s="61"/>
      <c r="D53" s="61"/>
      <c r="E53" s="61"/>
      <c r="F53" s="61"/>
      <c r="G53" s="61"/>
      <c r="H53" s="62"/>
    </row>
    <row r="54" ht="15.75" customHeight="1">
      <c r="A54" s="120"/>
      <c r="H54" s="121"/>
    </row>
    <row r="55" ht="15.75" customHeight="1">
      <c r="A55" s="63"/>
      <c r="B55" s="64"/>
      <c r="C55" s="64"/>
      <c r="D55" s="64"/>
      <c r="E55" s="64"/>
      <c r="F55" s="64"/>
      <c r="G55" s="64"/>
      <c r="H55" s="65"/>
    </row>
    <row r="56" ht="15.75" customHeight="1"/>
    <row r="57" ht="15.75" customHeight="1">
      <c r="A57" s="89" t="s">
        <v>257</v>
      </c>
    </row>
    <row r="58">
      <c r="A58" s="92" t="s">
        <v>252</v>
      </c>
      <c r="B58" s="84"/>
      <c r="C58" s="35"/>
      <c r="D58" s="35"/>
      <c r="E58" s="35"/>
      <c r="F58" s="35"/>
      <c r="G58" s="35"/>
      <c r="H58" s="36"/>
    </row>
    <row r="59" ht="15.75" customHeight="1">
      <c r="A59" s="92" t="s">
        <v>8</v>
      </c>
      <c r="B59" s="84"/>
      <c r="C59" s="35"/>
      <c r="D59" s="35"/>
      <c r="E59" s="35"/>
      <c r="F59" s="35"/>
      <c r="G59" s="35"/>
      <c r="H59" s="36"/>
    </row>
    <row r="60" ht="15.75" customHeight="1">
      <c r="A60" s="92" t="s">
        <v>217</v>
      </c>
      <c r="B60" s="116"/>
      <c r="C60" s="35"/>
      <c r="D60" s="35"/>
      <c r="E60" s="35"/>
      <c r="F60" s="35"/>
      <c r="G60" s="35"/>
      <c r="H60" s="36"/>
    </row>
    <row r="61" ht="15.75" customHeight="1">
      <c r="A61" s="92" t="s">
        <v>178</v>
      </c>
      <c r="B61" s="116"/>
      <c r="C61" s="35"/>
      <c r="D61" s="35"/>
      <c r="E61" s="35"/>
      <c r="F61" s="35"/>
      <c r="G61" s="35"/>
      <c r="H61" s="36"/>
    </row>
    <row r="62" ht="15.75" customHeight="1">
      <c r="A62" s="123" t="s">
        <v>259</v>
      </c>
      <c r="B62" s="6"/>
      <c r="C62" s="6"/>
      <c r="D62" s="6"/>
      <c r="E62" s="6"/>
      <c r="F62" s="6"/>
      <c r="G62" s="6"/>
      <c r="H62" s="6"/>
    </row>
    <row r="63" ht="15.75" customHeight="1">
      <c r="A63" s="118" t="s">
        <v>255</v>
      </c>
      <c r="B63" s="35"/>
      <c r="C63" s="35"/>
      <c r="D63" s="35"/>
      <c r="E63" s="35"/>
      <c r="F63" s="35"/>
      <c r="G63" s="35"/>
      <c r="H63" s="36"/>
    </row>
    <row r="64" ht="15.75" customHeight="1">
      <c r="A64" s="129"/>
      <c r="B64" s="61"/>
      <c r="C64" s="61"/>
      <c r="D64" s="61"/>
      <c r="E64" s="61"/>
      <c r="F64" s="61"/>
      <c r="G64" s="61"/>
      <c r="H64" s="62"/>
    </row>
    <row r="65" ht="15.75" customHeight="1">
      <c r="A65" s="120"/>
      <c r="H65" s="121"/>
    </row>
    <row r="66" ht="15.75" customHeight="1">
      <c r="A66" s="63"/>
      <c r="B66" s="64"/>
      <c r="C66" s="64"/>
      <c r="D66" s="64"/>
      <c r="E66" s="64"/>
      <c r="F66" s="64"/>
      <c r="G66" s="64"/>
      <c r="H66" s="65"/>
    </row>
    <row r="67" ht="15.75" customHeight="1"/>
    <row r="68" ht="15.75" customHeight="1">
      <c r="A68" s="103" t="s">
        <v>261</v>
      </c>
      <c r="G68" s="98" t="s">
        <v>178</v>
      </c>
      <c r="H68" s="104">
        <f>B70</f>
        <v>10</v>
      </c>
    </row>
    <row r="69" ht="15.75" customHeight="1">
      <c r="G69" s="89" t="s">
        <v>262</v>
      </c>
    </row>
    <row r="70" ht="15.75" customHeight="1">
      <c r="A70" s="92" t="s">
        <v>178</v>
      </c>
      <c r="B70" s="116">
        <v>10.0</v>
      </c>
      <c r="C70" s="35"/>
      <c r="D70" s="35"/>
      <c r="E70" s="35"/>
      <c r="F70" s="35"/>
      <c r="G70" s="35"/>
      <c r="H70" s="36"/>
    </row>
    <row r="71" ht="15.75" customHeight="1">
      <c r="A71" s="124" t="s">
        <v>263</v>
      </c>
      <c r="B71" s="35"/>
      <c r="C71" s="35"/>
      <c r="D71" s="35"/>
      <c r="E71" s="35"/>
      <c r="F71" s="35"/>
      <c r="G71" s="35"/>
      <c r="H71" s="36"/>
    </row>
    <row r="72" ht="15.75" customHeight="1">
      <c r="A72" s="119" t="s">
        <v>301</v>
      </c>
      <c r="B72" s="61"/>
      <c r="C72" s="61"/>
      <c r="D72" s="61"/>
      <c r="E72" s="61"/>
      <c r="F72" s="61"/>
      <c r="G72" s="61"/>
      <c r="H72" s="62"/>
    </row>
    <row r="73" ht="15.75" customHeight="1">
      <c r="A73" s="63"/>
      <c r="B73" s="64"/>
      <c r="C73" s="64"/>
      <c r="D73" s="64"/>
      <c r="E73" s="64"/>
      <c r="F73" s="64"/>
      <c r="G73" s="64"/>
      <c r="H73" s="65"/>
    </row>
    <row r="74" ht="15.75" customHeight="1">
      <c r="A74" s="89" t="s">
        <v>265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216</v>
      </c>
    </row>
    <row r="3" ht="15.75" customHeight="1"/>
    <row r="4" ht="15.75" customHeight="1">
      <c r="B4" s="83" t="s">
        <v>1</v>
      </c>
      <c r="C4" s="100" t="str">
        <f>'Diseño'!C4</f>
        <v>667 - Programacion Comercial 1</v>
      </c>
      <c r="D4" s="35"/>
      <c r="E4" s="35"/>
      <c r="F4" s="35"/>
      <c r="G4" s="36"/>
    </row>
    <row r="5" ht="15.75" customHeight="1">
      <c r="B5" s="70" t="s">
        <v>79</v>
      </c>
      <c r="C5" s="84">
        <v>6.0</v>
      </c>
      <c r="D5" s="35"/>
      <c r="E5" s="35"/>
      <c r="F5" s="35"/>
      <c r="G5" s="36"/>
    </row>
    <row r="6" ht="15.75" customHeight="1">
      <c r="B6" s="101" t="s">
        <v>175</v>
      </c>
      <c r="C6" s="84">
        <f>H10+H21+H44+H68</f>
        <v>100</v>
      </c>
      <c r="D6" s="35"/>
      <c r="E6" s="35"/>
      <c r="F6" s="35"/>
      <c r="G6" s="36"/>
      <c r="I6" s="6"/>
    </row>
    <row r="7" ht="15.75" customHeight="1">
      <c r="B7" s="101" t="s">
        <v>217</v>
      </c>
      <c r="C7" s="84">
        <f>B49+B60</f>
        <v>0</v>
      </c>
      <c r="D7" s="35"/>
      <c r="E7" s="35"/>
      <c r="F7" s="35"/>
      <c r="G7" s="36"/>
    </row>
    <row r="8" ht="15.75" customHeight="1">
      <c r="B8" s="101" t="s">
        <v>218</v>
      </c>
      <c r="C8" s="102" t="str">
        <f>IF(H44&lt;=0, "❌ ERROR: La Actividad 1 debe tener un tiempo mayor a 0.", IF(H21&gt;60, "❌ ERROR: El 'Área de Conocimiento' no puede exceder los 60 min.", IF((H10+H21+H44+H68)&lt;100, "❌ ERROR: El tiempo total debe ser de al menos 100 min.", "✅ VALIDACIÓN CORRECTA")))</f>
        <v>✅ VALIDACIÓN CORRECTA</v>
      </c>
      <c r="D8" s="35"/>
      <c r="E8" s="35"/>
      <c r="F8" s="35"/>
      <c r="G8" s="36"/>
      <c r="I8" s="6"/>
      <c r="J8" s="6"/>
      <c r="K8" s="6"/>
    </row>
    <row r="9" ht="15.75" customHeight="1"/>
    <row r="10" ht="15.75" customHeight="1">
      <c r="A10" s="103" t="s">
        <v>219</v>
      </c>
      <c r="G10" s="98" t="s">
        <v>178</v>
      </c>
      <c r="H10" s="104">
        <f>B13</f>
        <v>5</v>
      </c>
    </row>
    <row r="11" ht="15.75" customHeight="1">
      <c r="G11" s="89" t="s">
        <v>220</v>
      </c>
    </row>
    <row r="12" ht="15.75" customHeight="1">
      <c r="A12" s="92" t="s">
        <v>221</v>
      </c>
      <c r="B12" s="94" t="s">
        <v>278</v>
      </c>
      <c r="C12" s="35"/>
      <c r="D12" s="35"/>
      <c r="E12" s="35"/>
      <c r="F12" s="35"/>
      <c r="G12" s="35"/>
      <c r="H12" s="36"/>
    </row>
    <row r="13" ht="15.75" customHeight="1">
      <c r="A13" s="93" t="s">
        <v>178</v>
      </c>
      <c r="B13" s="94">
        <v>5.0</v>
      </c>
      <c r="C13" s="35"/>
      <c r="D13" s="35"/>
      <c r="E13" s="35"/>
      <c r="F13" s="35"/>
      <c r="G13" s="35"/>
      <c r="H13" s="36"/>
    </row>
    <row r="14" ht="15.75" customHeight="1">
      <c r="A14" s="118" t="s">
        <v>223</v>
      </c>
      <c r="B14" s="35"/>
      <c r="C14" s="35"/>
      <c r="D14" s="35"/>
      <c r="E14" s="35"/>
      <c r="F14" s="35"/>
      <c r="G14" s="35"/>
      <c r="H14" s="36"/>
    </row>
    <row r="15" ht="15.75" customHeight="1">
      <c r="A15" s="60" t="s">
        <v>302</v>
      </c>
      <c r="B15" s="61"/>
      <c r="C15" s="61"/>
      <c r="D15" s="61"/>
      <c r="E15" s="61"/>
      <c r="F15" s="61"/>
      <c r="G15" s="61"/>
      <c r="H15" s="62"/>
    </row>
    <row r="16" ht="15.75" customHeight="1">
      <c r="A16" s="63"/>
      <c r="B16" s="64"/>
      <c r="C16" s="64"/>
      <c r="D16" s="64"/>
      <c r="E16" s="64"/>
      <c r="F16" s="64"/>
      <c r="G16" s="64"/>
      <c r="H16" s="65"/>
    </row>
    <row r="17" ht="15.75" customHeight="1">
      <c r="A17" s="118" t="s">
        <v>225</v>
      </c>
      <c r="B17" s="35"/>
      <c r="C17" s="35"/>
      <c r="D17" s="35"/>
      <c r="E17" s="35"/>
      <c r="F17" s="35"/>
      <c r="G17" s="35"/>
      <c r="H17" s="36"/>
    </row>
    <row r="18" ht="15.75" customHeight="1">
      <c r="A18" s="130" t="s">
        <v>303</v>
      </c>
      <c r="B18" s="61"/>
      <c r="C18" s="61"/>
      <c r="D18" s="61"/>
      <c r="E18" s="61"/>
      <c r="F18" s="61"/>
      <c r="G18" s="61"/>
      <c r="H18" s="62"/>
    </row>
    <row r="19" ht="15.75" customHeight="1">
      <c r="A19" s="63"/>
      <c r="B19" s="64"/>
      <c r="C19" s="64"/>
      <c r="D19" s="64"/>
      <c r="E19" s="64"/>
      <c r="F19" s="64"/>
      <c r="G19" s="64"/>
      <c r="H19" s="65"/>
    </row>
    <row r="20" ht="15.75" customHeight="1"/>
    <row r="21" ht="15.75" customHeight="1">
      <c r="A21" s="103" t="s">
        <v>227</v>
      </c>
      <c r="G21" s="98" t="s">
        <v>178</v>
      </c>
      <c r="H21" s="104">
        <f>SUM(D39:H42)</f>
        <v>55</v>
      </c>
      <c r="I21" s="6"/>
    </row>
    <row r="22" ht="15.75" customHeight="1">
      <c r="G22" s="89" t="s">
        <v>228</v>
      </c>
    </row>
    <row r="23" ht="15.75" customHeight="1">
      <c r="A23" s="92" t="s">
        <v>229</v>
      </c>
      <c r="B23" s="94" t="s">
        <v>304</v>
      </c>
      <c r="C23" s="35"/>
      <c r="D23" s="35"/>
      <c r="E23" s="35"/>
      <c r="F23" s="35"/>
      <c r="G23" s="35"/>
      <c r="H23" s="36"/>
    </row>
    <row r="24" ht="15.75" customHeight="1">
      <c r="A24" s="92" t="s">
        <v>229</v>
      </c>
      <c r="B24" s="94" t="s">
        <v>305</v>
      </c>
      <c r="C24" s="35"/>
      <c r="D24" s="35"/>
      <c r="E24" s="35"/>
      <c r="F24" s="35"/>
      <c r="G24" s="35"/>
      <c r="H24" s="36"/>
    </row>
    <row r="25" ht="15.75" customHeight="1"/>
    <row r="26" ht="15.75" customHeight="1">
      <c r="A26" s="110" t="s">
        <v>230</v>
      </c>
      <c r="B26" s="6"/>
      <c r="C26" s="6"/>
      <c r="D26" s="6"/>
    </row>
    <row r="27" ht="15.75" customHeight="1">
      <c r="A27" s="126" t="s">
        <v>73</v>
      </c>
      <c r="B27" s="127" t="s">
        <v>231</v>
      </c>
      <c r="C27" s="36"/>
      <c r="D27" s="127" t="s">
        <v>232</v>
      </c>
      <c r="E27" s="36"/>
      <c r="F27" s="127" t="s">
        <v>233</v>
      </c>
      <c r="G27" s="35"/>
      <c r="H27" s="36"/>
    </row>
    <row r="28" ht="15.75" customHeight="1">
      <c r="A28" s="70">
        <v>1.0</v>
      </c>
      <c r="B28" s="84" t="str">
        <f>IFERROR(__xludf.DUMMYFUNCTION("FILTER('Diseño'!D:D,'Diseño'!H:H=$C$5)"),"2. Microsoft Project")</f>
        <v>2. Microsoft Project</v>
      </c>
      <c r="C28" s="36"/>
      <c r="D28" s="84" t="str">
        <f>IFERROR(__xludf.DUMMYFUNCTION("FILTER('Diseño'!E:E,'Diseño'!H:H=$C$5)"),"Gestión de proyectos")</f>
        <v>Gestión de proyectos</v>
      </c>
      <c r="E28" s="36"/>
      <c r="F28" s="84" t="str">
        <f>IFERROR(__xludf.DUMMYFUNCTION("FILTER('Diseño'!F:F,'Diseño'!H:H=$C$5)"),"Introduccion a la gestión de proyectos")</f>
        <v>Introduccion a la gestión de proyectos</v>
      </c>
      <c r="G28" s="35"/>
      <c r="H28" s="36"/>
    </row>
    <row r="29" ht="15.75" customHeight="1">
      <c r="A29" s="70">
        <v>2.0</v>
      </c>
      <c r="B29" s="84" t="str">
        <f>IFERROR(__xludf.DUMMYFUNCTION("""COMPUTED_VALUE"""),"2. Microsoft Project")</f>
        <v>2. Microsoft Project</v>
      </c>
      <c r="C29" s="36"/>
      <c r="D29" s="84" t="str">
        <f>IFERROR(__xludf.DUMMYFUNCTION("""COMPUTED_VALUE"""),"Gestión de proyectos")</f>
        <v>Gestión de proyectos</v>
      </c>
      <c r="E29" s="36"/>
      <c r="F29" s="84" t="str">
        <f>IFERROR(__xludf.DUMMYFUNCTION("""COMPUTED_VALUE"""),"Instalación Microsoft proyect o Project libre")</f>
        <v>Instalación Microsoft proyect o Project libre</v>
      </c>
      <c r="G29" s="35"/>
      <c r="H29" s="36"/>
    </row>
    <row r="30" ht="15.75" customHeight="1">
      <c r="A30" s="70">
        <v>3.0</v>
      </c>
      <c r="B30" s="84" t="str">
        <f>IFERROR(__xludf.DUMMYFUNCTION("""COMPUTED_VALUE"""),"2. Microsoft Project")</f>
        <v>2. Microsoft Project</v>
      </c>
      <c r="C30" s="36"/>
      <c r="D30" s="84" t="str">
        <f>IFERROR(__xludf.DUMMYFUNCTION("""COMPUTED_VALUE"""),"Fundamentos de la Planificación de Proyectos")</f>
        <v>Fundamentos de la Planificación de Proyectos</v>
      </c>
      <c r="E30" s="36"/>
      <c r="F30" s="84" t="str">
        <f>IFERROR(__xludf.DUMMYFUNCTION("""COMPUTED_VALUE"""),"¿Qué es un proyeco y tipos de proyectos?")</f>
        <v>¿Qué es un proyeco y tipos de proyectos?</v>
      </c>
      <c r="G30" s="35"/>
      <c r="H30" s="36"/>
    </row>
    <row r="31" ht="15.75" customHeight="1">
      <c r="A31" s="70">
        <v>4.0</v>
      </c>
      <c r="B31" s="84" t="str">
        <f>IFERROR(__xludf.DUMMYFUNCTION("""COMPUTED_VALUE"""),"2. Microsoft Project")</f>
        <v>2. Microsoft Project</v>
      </c>
      <c r="C31" s="36"/>
      <c r="D31" s="84" t="str">
        <f>IFERROR(__xludf.DUMMYFUNCTION("""COMPUTED_VALUE"""),"Fundamentos de la Planificación de Proyectos")</f>
        <v>Fundamentos de la Planificación de Proyectos</v>
      </c>
      <c r="E31" s="36"/>
      <c r="F31" s="84" t="str">
        <f>IFERROR(__xludf.DUMMYFUNCTION("""COMPUTED_VALUE"""),"Teoría de Microsoft Project")</f>
        <v>Teoría de Microsoft Project</v>
      </c>
      <c r="G31" s="35"/>
      <c r="H31" s="36"/>
    </row>
    <row r="32" ht="15.75" customHeight="1">
      <c r="A32" s="70">
        <v>5.0</v>
      </c>
      <c r="B32" s="84" t="str">
        <f>IFERROR(__xludf.DUMMYFUNCTION("""COMPUTED_VALUE"""),"2. Microsoft Project")</f>
        <v>2. Microsoft Project</v>
      </c>
      <c r="C32" s="36"/>
      <c r="D32" s="84" t="str">
        <f>IFERROR(__xludf.DUMMYFUNCTION("""COMPUTED_VALUE"""),"Fundamentos de la Planificación de Proyectos")</f>
        <v>Fundamentos de la Planificación de Proyectos</v>
      </c>
      <c r="E32" s="36"/>
      <c r="F32" s="84" t="str">
        <f>IFERROR(__xludf.DUMMYFUNCTION("""COMPUTED_VALUE"""),"Explorando la interfaz de Microsoft Project o project libre")</f>
        <v>Explorando la interfaz de Microsoft Project o project libre</v>
      </c>
      <c r="G32" s="35"/>
      <c r="H32" s="36"/>
    </row>
    <row r="33" ht="15.75" customHeight="1">
      <c r="A33" s="70">
        <v>6.0</v>
      </c>
      <c r="B33" s="84" t="str">
        <f>IFERROR(__xludf.DUMMYFUNCTION("""COMPUTED_VALUE"""),"2. Microsoft Project")</f>
        <v>2. Microsoft Project</v>
      </c>
      <c r="C33" s="36"/>
      <c r="D33" s="84" t="str">
        <f>IFERROR(__xludf.DUMMYFUNCTION("""COMPUTED_VALUE"""),"Fundamentos de la Planificación de Proyectos")</f>
        <v>Fundamentos de la Planificación de Proyectos</v>
      </c>
      <c r="E33" s="36"/>
      <c r="F33" s="84" t="str">
        <f>IFERROR(__xludf.DUMMYFUNCTION("""COMPUTED_VALUE"""),"Características de un proyecto")</f>
        <v>Características de un proyecto</v>
      </c>
      <c r="G33" s="35"/>
      <c r="H33" s="36"/>
    </row>
    <row r="34" ht="15.75" customHeight="1">
      <c r="A34" s="70">
        <v>7.0</v>
      </c>
      <c r="B34" s="84" t="str">
        <f>IFERROR(__xludf.DUMMYFUNCTION("""COMPUTED_VALUE"""),"2. Microsoft Project")</f>
        <v>2. Microsoft Project</v>
      </c>
      <c r="C34" s="36"/>
      <c r="D34" s="84" t="str">
        <f>IFERROR(__xludf.DUMMYFUNCTION("""COMPUTED_VALUE"""),"Fundamentos de la Planificación de Proyectos")</f>
        <v>Fundamentos de la Planificación de Proyectos</v>
      </c>
      <c r="E34" s="36"/>
      <c r="F34" s="84" t="str">
        <f>IFERROR(__xludf.DUMMYFUNCTION("""COMPUTED_VALUE"""),"Características de un proyecto")</f>
        <v>Características de un proyecto</v>
      </c>
      <c r="G34" s="35"/>
      <c r="H34" s="36"/>
    </row>
    <row r="35" ht="15.75" customHeight="1"/>
    <row r="36" ht="15.75" customHeight="1">
      <c r="A36" s="110" t="s">
        <v>237</v>
      </c>
    </row>
    <row r="37" ht="15.75" customHeight="1">
      <c r="A37" s="6"/>
      <c r="B37" s="6"/>
      <c r="C37" s="6"/>
      <c r="D37" s="6"/>
      <c r="E37" s="6"/>
      <c r="F37" s="6"/>
      <c r="G37" s="6"/>
      <c r="H37" s="6"/>
    </row>
    <row r="38">
      <c r="A38" s="126" t="s">
        <v>238</v>
      </c>
      <c r="B38" s="126" t="s">
        <v>33</v>
      </c>
      <c r="C38" s="128" t="s">
        <v>270</v>
      </c>
      <c r="D38" s="124" t="s">
        <v>271</v>
      </c>
      <c r="E38" s="35"/>
      <c r="F38" s="35"/>
      <c r="G38" s="35"/>
      <c r="H38" s="36"/>
      <c r="I38" s="115" t="s">
        <v>18</v>
      </c>
    </row>
    <row r="39" ht="15.75" customHeight="1">
      <c r="A39" s="70" t="s">
        <v>240</v>
      </c>
      <c r="B39" s="70" t="s">
        <v>241</v>
      </c>
      <c r="C39" s="70">
        <v>30.0</v>
      </c>
      <c r="D39" s="94">
        <v>30.0</v>
      </c>
      <c r="E39" s="35"/>
      <c r="F39" s="35"/>
      <c r="G39" s="35"/>
      <c r="H39" s="36"/>
      <c r="I39" s="70" t="str">
        <f t="shared" ref="I39:I42" si="1">IF(D39&lt;=C39,"Correcto", "Corregir")</f>
        <v>Correcto</v>
      </c>
    </row>
    <row r="40" ht="15.75" customHeight="1">
      <c r="A40" s="70" t="s">
        <v>243</v>
      </c>
      <c r="B40" s="70" t="s">
        <v>241</v>
      </c>
      <c r="C40" s="70">
        <v>6.0</v>
      </c>
      <c r="D40" s="94">
        <v>5.0</v>
      </c>
      <c r="E40" s="35"/>
      <c r="F40" s="35"/>
      <c r="G40" s="35"/>
      <c r="H40" s="36"/>
      <c r="I40" s="70" t="str">
        <f t="shared" si="1"/>
        <v>Correcto</v>
      </c>
    </row>
    <row r="41" ht="15.75" customHeight="1">
      <c r="A41" s="70" t="s">
        <v>244</v>
      </c>
      <c r="B41" s="70" t="s">
        <v>245</v>
      </c>
      <c r="C41" s="70">
        <v>10.0</v>
      </c>
      <c r="D41" s="94">
        <v>0.0</v>
      </c>
      <c r="E41" s="35"/>
      <c r="F41" s="35"/>
      <c r="G41" s="35"/>
      <c r="H41" s="36"/>
      <c r="I41" s="70" t="str">
        <f t="shared" si="1"/>
        <v>Correcto</v>
      </c>
    </row>
    <row r="42" ht="15.75" customHeight="1">
      <c r="A42" s="70" t="s">
        <v>247</v>
      </c>
      <c r="B42" s="70" t="s">
        <v>241</v>
      </c>
      <c r="C42" s="70">
        <v>30.0</v>
      </c>
      <c r="D42" s="94">
        <v>20.0</v>
      </c>
      <c r="E42" s="35"/>
      <c r="F42" s="35"/>
      <c r="G42" s="35"/>
      <c r="H42" s="36"/>
      <c r="I42" s="70" t="str">
        <f t="shared" si="1"/>
        <v>Correcto</v>
      </c>
    </row>
    <row r="43" ht="15.75" customHeight="1"/>
    <row r="44" ht="15.75" customHeight="1">
      <c r="A44" s="103" t="s">
        <v>249</v>
      </c>
      <c r="G44" s="98" t="s">
        <v>178</v>
      </c>
      <c r="H44" s="104">
        <f>B50</f>
        <v>30</v>
      </c>
    </row>
    <row r="45" ht="15.75" customHeight="1">
      <c r="G45" s="89" t="s">
        <v>250</v>
      </c>
    </row>
    <row r="46" ht="15.75" customHeight="1">
      <c r="A46" s="89" t="s">
        <v>251</v>
      </c>
    </row>
    <row r="47">
      <c r="A47" s="92" t="s">
        <v>252</v>
      </c>
      <c r="B47" s="134" t="s">
        <v>302</v>
      </c>
      <c r="C47" s="35"/>
      <c r="D47" s="35"/>
      <c r="E47" s="35"/>
      <c r="F47" s="35"/>
      <c r="G47" s="35"/>
      <c r="H47" s="36"/>
    </row>
    <row r="48" ht="15.75" customHeight="1">
      <c r="A48" s="92" t="s">
        <v>8</v>
      </c>
      <c r="B48" s="94" t="s">
        <v>306</v>
      </c>
      <c r="C48" s="35"/>
      <c r="D48" s="35"/>
      <c r="E48" s="35"/>
      <c r="F48" s="35"/>
      <c r="G48" s="35"/>
      <c r="H48" s="36"/>
    </row>
    <row r="49" ht="15.75" customHeight="1">
      <c r="A49" s="92" t="s">
        <v>217</v>
      </c>
      <c r="B49" s="135">
        <v>0.0</v>
      </c>
      <c r="C49" s="35"/>
      <c r="D49" s="35"/>
      <c r="E49" s="35"/>
      <c r="F49" s="35"/>
      <c r="G49" s="35"/>
      <c r="H49" s="36"/>
    </row>
    <row r="50" ht="15.75" customHeight="1">
      <c r="A50" s="92" t="s">
        <v>178</v>
      </c>
      <c r="B50" s="94">
        <v>30.0</v>
      </c>
      <c r="C50" s="35"/>
      <c r="D50" s="35"/>
      <c r="E50" s="35"/>
      <c r="F50" s="35"/>
      <c r="G50" s="35"/>
      <c r="H50" s="36"/>
    </row>
    <row r="51" ht="15.75" customHeight="1">
      <c r="A51" s="117" t="s">
        <v>254</v>
      </c>
      <c r="B51" s="6"/>
      <c r="C51" s="6"/>
      <c r="D51" s="6"/>
      <c r="E51" s="6"/>
      <c r="F51" s="6"/>
      <c r="G51" s="6"/>
      <c r="H51" s="6"/>
    </row>
    <row r="52" ht="15.75" customHeight="1">
      <c r="A52" s="118" t="s">
        <v>255</v>
      </c>
      <c r="B52" s="35"/>
      <c r="C52" s="35"/>
      <c r="D52" s="35"/>
      <c r="E52" s="35"/>
      <c r="F52" s="35"/>
      <c r="G52" s="35"/>
      <c r="H52" s="36"/>
    </row>
    <row r="53" ht="15.75" customHeight="1">
      <c r="A53" s="119" t="s">
        <v>307</v>
      </c>
      <c r="B53" s="61"/>
      <c r="C53" s="61"/>
      <c r="D53" s="61"/>
      <c r="E53" s="61"/>
      <c r="F53" s="61"/>
      <c r="G53" s="61"/>
      <c r="H53" s="62"/>
    </row>
    <row r="54" ht="15.75" customHeight="1">
      <c r="A54" s="120"/>
      <c r="H54" s="121"/>
    </row>
    <row r="55" ht="15.75" customHeight="1">
      <c r="A55" s="63"/>
      <c r="B55" s="64"/>
      <c r="C55" s="64"/>
      <c r="D55" s="64"/>
      <c r="E55" s="64"/>
      <c r="F55" s="64"/>
      <c r="G55" s="64"/>
      <c r="H55" s="65"/>
    </row>
    <row r="56" ht="15.75" customHeight="1"/>
    <row r="57" ht="15.75" customHeight="1">
      <c r="A57" s="89" t="s">
        <v>257</v>
      </c>
    </row>
    <row r="58">
      <c r="A58" s="92" t="s">
        <v>252</v>
      </c>
      <c r="B58" s="84"/>
      <c r="C58" s="35"/>
      <c r="D58" s="35"/>
      <c r="E58" s="35"/>
      <c r="F58" s="35"/>
      <c r="G58" s="35"/>
      <c r="H58" s="36"/>
    </row>
    <row r="59" ht="15.75" customHeight="1">
      <c r="A59" s="92" t="s">
        <v>8</v>
      </c>
      <c r="B59" s="84"/>
      <c r="C59" s="35"/>
      <c r="D59" s="35"/>
      <c r="E59" s="35"/>
      <c r="F59" s="35"/>
      <c r="G59" s="35"/>
      <c r="H59" s="36"/>
    </row>
    <row r="60" ht="15.75" customHeight="1">
      <c r="A60" s="92" t="s">
        <v>217</v>
      </c>
      <c r="B60" s="135"/>
      <c r="C60" s="35"/>
      <c r="D60" s="35"/>
      <c r="E60" s="35"/>
      <c r="F60" s="35"/>
      <c r="G60" s="35"/>
      <c r="H60" s="36"/>
    </row>
    <row r="61" ht="15.75" customHeight="1">
      <c r="A61" s="92" t="s">
        <v>178</v>
      </c>
      <c r="B61" s="135"/>
      <c r="C61" s="35"/>
      <c r="D61" s="35"/>
      <c r="E61" s="35"/>
      <c r="F61" s="35"/>
      <c r="G61" s="35"/>
      <c r="H61" s="36"/>
    </row>
    <row r="62" ht="15.75" customHeight="1">
      <c r="A62" s="123" t="s">
        <v>259</v>
      </c>
      <c r="B62" s="6"/>
      <c r="C62" s="6"/>
      <c r="D62" s="6"/>
      <c r="E62" s="6"/>
      <c r="F62" s="6"/>
      <c r="G62" s="6"/>
      <c r="H62" s="6"/>
    </row>
    <row r="63" ht="15.75" customHeight="1">
      <c r="A63" s="118" t="s">
        <v>255</v>
      </c>
      <c r="B63" s="35"/>
      <c r="C63" s="35"/>
      <c r="D63" s="35"/>
      <c r="E63" s="35"/>
      <c r="F63" s="35"/>
      <c r="G63" s="35"/>
      <c r="H63" s="36"/>
    </row>
    <row r="64" ht="15.75" customHeight="1">
      <c r="A64" s="129"/>
      <c r="B64" s="61"/>
      <c r="C64" s="61"/>
      <c r="D64" s="61"/>
      <c r="E64" s="61"/>
      <c r="F64" s="61"/>
      <c r="G64" s="61"/>
      <c r="H64" s="62"/>
    </row>
    <row r="65" ht="15.75" customHeight="1">
      <c r="A65" s="120"/>
      <c r="H65" s="121"/>
    </row>
    <row r="66" ht="15.75" customHeight="1">
      <c r="A66" s="63"/>
      <c r="B66" s="64"/>
      <c r="C66" s="64"/>
      <c r="D66" s="64"/>
      <c r="E66" s="64"/>
      <c r="F66" s="64"/>
      <c r="G66" s="64"/>
      <c r="H66" s="65"/>
    </row>
    <row r="67" ht="15.75" customHeight="1"/>
    <row r="68" ht="15.75" customHeight="1">
      <c r="A68" s="103" t="s">
        <v>261</v>
      </c>
      <c r="G68" s="98" t="s">
        <v>178</v>
      </c>
      <c r="H68" s="104">
        <f>B70</f>
        <v>10</v>
      </c>
    </row>
    <row r="69" ht="15.75" customHeight="1">
      <c r="G69" s="89" t="s">
        <v>262</v>
      </c>
    </row>
    <row r="70" ht="15.75" customHeight="1">
      <c r="A70" s="92" t="s">
        <v>178</v>
      </c>
      <c r="B70" s="116">
        <v>10.0</v>
      </c>
      <c r="C70" s="35"/>
      <c r="D70" s="35"/>
      <c r="E70" s="35"/>
      <c r="F70" s="35"/>
      <c r="G70" s="35"/>
      <c r="H70" s="36"/>
    </row>
    <row r="71" ht="15.75" customHeight="1">
      <c r="A71" s="124" t="s">
        <v>263</v>
      </c>
      <c r="B71" s="35"/>
      <c r="C71" s="35"/>
      <c r="D71" s="35"/>
      <c r="E71" s="35"/>
      <c r="F71" s="35"/>
      <c r="G71" s="35"/>
      <c r="H71" s="36"/>
    </row>
    <row r="72" ht="15.75" customHeight="1">
      <c r="A72" s="119" t="s">
        <v>308</v>
      </c>
      <c r="B72" s="61"/>
      <c r="C72" s="61"/>
      <c r="D72" s="61"/>
      <c r="E72" s="61"/>
      <c r="F72" s="61"/>
      <c r="G72" s="61"/>
      <c r="H72" s="62"/>
    </row>
    <row r="73" ht="15.75" customHeight="1">
      <c r="A73" s="63"/>
      <c r="B73" s="64"/>
      <c r="C73" s="64"/>
      <c r="D73" s="64"/>
      <c r="E73" s="64"/>
      <c r="F73" s="64"/>
      <c r="G73" s="64"/>
      <c r="H73" s="65"/>
    </row>
    <row r="74" ht="15.75" customHeight="1">
      <c r="A74" s="89" t="s">
        <v>265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216</v>
      </c>
    </row>
    <row r="3" ht="15.75" customHeight="1"/>
    <row r="4" ht="15.75" customHeight="1">
      <c r="B4" s="83" t="s">
        <v>1</v>
      </c>
      <c r="C4" s="100" t="str">
        <f>'Diseño'!C4</f>
        <v>667 - Programacion Comercial 1</v>
      </c>
      <c r="D4" s="35"/>
      <c r="E4" s="35"/>
      <c r="F4" s="35"/>
      <c r="G4" s="36"/>
    </row>
    <row r="5" ht="15.75" customHeight="1">
      <c r="B5" s="70" t="s">
        <v>79</v>
      </c>
      <c r="C5" s="84">
        <v>7.0</v>
      </c>
      <c r="D5" s="35"/>
      <c r="E5" s="35"/>
      <c r="F5" s="35"/>
      <c r="G5" s="36"/>
    </row>
    <row r="6" ht="15.75" customHeight="1">
      <c r="B6" s="101" t="s">
        <v>175</v>
      </c>
      <c r="C6" s="84">
        <f>H10+H21+H44+H68</f>
        <v>105</v>
      </c>
      <c r="D6" s="35"/>
      <c r="E6" s="35"/>
      <c r="F6" s="35"/>
      <c r="G6" s="36"/>
      <c r="I6" s="6"/>
    </row>
    <row r="7" ht="15.75" customHeight="1">
      <c r="B7" s="101" t="s">
        <v>217</v>
      </c>
      <c r="C7" s="84">
        <f>B49+B60</f>
        <v>0</v>
      </c>
      <c r="D7" s="35"/>
      <c r="E7" s="35"/>
      <c r="F7" s="35"/>
      <c r="G7" s="36"/>
    </row>
    <row r="8" ht="15.75" customHeight="1">
      <c r="B8" s="101" t="s">
        <v>218</v>
      </c>
      <c r="C8" s="102" t="str">
        <f>IF(H44&lt;=0, "❌ ERROR: La Actividad 1 debe tener un tiempo mayor a 0.", IF(H21&gt;60, "❌ ERROR: El 'Área de Conocimiento' no puede exceder los 60 min.", IF((H10+H21+H44+H68)&lt;100, "❌ ERROR: El tiempo total debe ser de al menos 100 min.", "✅ VALIDACIÓN CORRECTA")))</f>
        <v>✅ VALIDACIÓN CORRECTA</v>
      </c>
      <c r="D8" s="35"/>
      <c r="E8" s="35"/>
      <c r="F8" s="35"/>
      <c r="G8" s="36"/>
      <c r="I8" s="6"/>
      <c r="J8" s="6"/>
      <c r="K8" s="6"/>
    </row>
    <row r="9" ht="15.75" customHeight="1"/>
    <row r="10" ht="15.75" customHeight="1">
      <c r="A10" s="103" t="s">
        <v>219</v>
      </c>
      <c r="G10" s="98" t="s">
        <v>178</v>
      </c>
      <c r="H10" s="104">
        <f>B13</f>
        <v>5</v>
      </c>
    </row>
    <row r="11" ht="15.75" customHeight="1">
      <c r="G11" s="89" t="s">
        <v>220</v>
      </c>
    </row>
    <row r="12" ht="15.75" customHeight="1">
      <c r="A12" s="92" t="s">
        <v>221</v>
      </c>
      <c r="B12" s="94" t="s">
        <v>309</v>
      </c>
      <c r="C12" s="35"/>
      <c r="D12" s="35"/>
      <c r="E12" s="35"/>
      <c r="F12" s="35"/>
      <c r="G12" s="35"/>
      <c r="H12" s="36"/>
    </row>
    <row r="13" ht="15.75" customHeight="1">
      <c r="A13" s="93" t="s">
        <v>178</v>
      </c>
      <c r="B13" s="94">
        <v>5.0</v>
      </c>
      <c r="C13" s="35"/>
      <c r="D13" s="35"/>
      <c r="E13" s="35"/>
      <c r="F13" s="35"/>
      <c r="G13" s="35"/>
      <c r="H13" s="36"/>
    </row>
    <row r="14" ht="15.75" customHeight="1">
      <c r="A14" s="118" t="s">
        <v>223</v>
      </c>
      <c r="B14" s="35"/>
      <c r="C14" s="35"/>
      <c r="D14" s="35"/>
      <c r="E14" s="35"/>
      <c r="F14" s="35"/>
      <c r="G14" s="35"/>
      <c r="H14" s="36"/>
    </row>
    <row r="15" ht="15.75" customHeight="1">
      <c r="A15" s="119" t="s">
        <v>310</v>
      </c>
      <c r="B15" s="61"/>
      <c r="C15" s="61"/>
      <c r="D15" s="61"/>
      <c r="E15" s="61"/>
      <c r="F15" s="61"/>
      <c r="G15" s="61"/>
      <c r="H15" s="62"/>
    </row>
    <row r="16" ht="15.75" customHeight="1">
      <c r="A16" s="63"/>
      <c r="B16" s="64"/>
      <c r="C16" s="64"/>
      <c r="D16" s="64"/>
      <c r="E16" s="64"/>
      <c r="F16" s="64"/>
      <c r="G16" s="64"/>
      <c r="H16" s="65"/>
    </row>
    <row r="17" ht="15.75" customHeight="1">
      <c r="A17" s="118" t="s">
        <v>225</v>
      </c>
      <c r="B17" s="35"/>
      <c r="C17" s="35"/>
      <c r="D17" s="35"/>
      <c r="E17" s="35"/>
      <c r="F17" s="35"/>
      <c r="G17" s="35"/>
      <c r="H17" s="36"/>
    </row>
    <row r="18" ht="15.75" customHeight="1">
      <c r="A18" s="119" t="s">
        <v>311</v>
      </c>
      <c r="B18" s="61"/>
      <c r="C18" s="61"/>
      <c r="D18" s="61"/>
      <c r="E18" s="61"/>
      <c r="F18" s="61"/>
      <c r="G18" s="61"/>
      <c r="H18" s="62"/>
    </row>
    <row r="19" ht="15.75" customHeight="1">
      <c r="A19" s="63"/>
      <c r="B19" s="64"/>
      <c r="C19" s="64"/>
      <c r="D19" s="64"/>
      <c r="E19" s="64"/>
      <c r="F19" s="64"/>
      <c r="G19" s="64"/>
      <c r="H19" s="65"/>
    </row>
    <row r="20" ht="15.75" customHeight="1"/>
    <row r="21" ht="15.75" customHeight="1">
      <c r="A21" s="103" t="s">
        <v>227</v>
      </c>
      <c r="G21" s="98" t="s">
        <v>178</v>
      </c>
      <c r="H21" s="104">
        <f>SUM(D39:H42)</f>
        <v>50</v>
      </c>
      <c r="I21" s="6"/>
    </row>
    <row r="22" ht="15.75" customHeight="1">
      <c r="G22" s="89" t="s">
        <v>228</v>
      </c>
    </row>
    <row r="23" ht="15.75" customHeight="1">
      <c r="A23" s="92" t="s">
        <v>229</v>
      </c>
      <c r="B23" s="94" t="s">
        <v>312</v>
      </c>
      <c r="C23" s="35"/>
      <c r="D23" s="35"/>
      <c r="E23" s="35"/>
      <c r="F23" s="35"/>
      <c r="G23" s="35"/>
      <c r="H23" s="36"/>
    </row>
    <row r="24" ht="15.75" customHeight="1">
      <c r="A24" s="92" t="s">
        <v>229</v>
      </c>
      <c r="B24" s="94" t="s">
        <v>313</v>
      </c>
      <c r="C24" s="35"/>
      <c r="D24" s="35"/>
      <c r="E24" s="35"/>
      <c r="F24" s="35"/>
      <c r="G24" s="35"/>
      <c r="H24" s="36"/>
    </row>
    <row r="25" ht="15.75" customHeight="1"/>
    <row r="26" ht="15.75" customHeight="1">
      <c r="A26" s="110" t="s">
        <v>230</v>
      </c>
      <c r="B26" s="6"/>
      <c r="C26" s="6"/>
      <c r="D26" s="6"/>
    </row>
    <row r="27" ht="15.75" customHeight="1">
      <c r="A27" s="126" t="s">
        <v>73</v>
      </c>
      <c r="B27" s="127" t="s">
        <v>231</v>
      </c>
      <c r="C27" s="36"/>
      <c r="D27" s="127" t="s">
        <v>232</v>
      </c>
      <c r="E27" s="36"/>
      <c r="F27" s="127" t="s">
        <v>233</v>
      </c>
      <c r="G27" s="35"/>
      <c r="H27" s="36"/>
    </row>
    <row r="28" ht="15.75" customHeight="1">
      <c r="A28" s="70">
        <v>1.0</v>
      </c>
      <c r="B28" s="84" t="str">
        <f>IFERROR(__xludf.DUMMYFUNCTION("FILTER('Diseño'!D:D,'Diseño'!H:H=$C$5)"),"2. Microsoft Project")</f>
        <v>2. Microsoft Project</v>
      </c>
      <c r="C28" s="36"/>
      <c r="D28" s="84" t="str">
        <f>IFERROR(__xludf.DUMMYFUNCTION("FILTER('Diseño'!E:E,'Diseño'!H:H=$C$5)"),"Planificación de Tareas")</f>
        <v>Planificación de Tareas</v>
      </c>
      <c r="E28" s="36"/>
      <c r="F28" s="84" t="str">
        <f>IFERROR(__xludf.DUMMYFUNCTION("FILTER('Diseño'!F:F,'Diseño'!H:H=$C$5)"),"Ciclo de vida de un proyecto")</f>
        <v>Ciclo de vida de un proyecto</v>
      </c>
      <c r="G28" s="35"/>
      <c r="H28" s="36"/>
    </row>
    <row r="29" ht="15.75" customHeight="1">
      <c r="A29" s="70">
        <v>2.0</v>
      </c>
      <c r="B29" s="84" t="str">
        <f>IFERROR(__xludf.DUMMYFUNCTION("""COMPUTED_VALUE"""),"2. Microsoft Project")</f>
        <v>2. Microsoft Project</v>
      </c>
      <c r="C29" s="36"/>
      <c r="D29" s="84" t="str">
        <f>IFERROR(__xludf.DUMMYFUNCTION("""COMPUTED_VALUE"""),"Planificación de Tareas")</f>
        <v>Planificación de Tareas</v>
      </c>
      <c r="E29" s="36"/>
      <c r="F29" s="84" t="str">
        <f>IFERROR(__xludf.DUMMYFUNCTION("""COMPUTED_VALUE"""),"Roles en la gestión de proyectos")</f>
        <v>Roles en la gestión de proyectos</v>
      </c>
      <c r="G29" s="35"/>
      <c r="H29" s="36"/>
    </row>
    <row r="30" ht="15.75" customHeight="1">
      <c r="A30" s="70">
        <v>3.0</v>
      </c>
      <c r="B30" s="84" t="str">
        <f>IFERROR(__xludf.DUMMYFUNCTION("""COMPUTED_VALUE"""),"2. Microsoft Project")</f>
        <v>2. Microsoft Project</v>
      </c>
      <c r="C30" s="36"/>
      <c r="D30" s="84" t="str">
        <f>IFERROR(__xludf.DUMMYFUNCTION("""COMPUTED_VALUE"""),"Planificación de Tareas")</f>
        <v>Planificación de Tareas</v>
      </c>
      <c r="E30" s="36"/>
      <c r="F30" s="84" t="str">
        <f>IFERROR(__xludf.DUMMYFUNCTION("""COMPUTED_VALUE"""),"Definición de objetivos y Alcance del proyecto")</f>
        <v>Definición de objetivos y Alcance del proyecto</v>
      </c>
      <c r="G30" s="35"/>
      <c r="H30" s="36"/>
    </row>
    <row r="31" ht="15.75" customHeight="1">
      <c r="A31" s="70">
        <v>4.0</v>
      </c>
      <c r="B31" s="84" t="str">
        <f>IFERROR(__xludf.DUMMYFUNCTION("""COMPUTED_VALUE"""),"2. Microsoft Project")</f>
        <v>2. Microsoft Project</v>
      </c>
      <c r="C31" s="36"/>
      <c r="D31" s="84" t="str">
        <f>IFERROR(__xludf.DUMMYFUNCTION("""COMPUTED_VALUE"""),"Asignación de Recursos")</f>
        <v>Asignación de Recursos</v>
      </c>
      <c r="E31" s="36"/>
      <c r="F31" s="84" t="str">
        <f>IFERROR(__xludf.DUMMYFUNCTION("""COMPUTED_VALUE"""),"Estructura de desglose de trabajo")</f>
        <v>Estructura de desglose de trabajo</v>
      </c>
      <c r="G31" s="35"/>
      <c r="H31" s="36"/>
    </row>
    <row r="32" ht="15.75" customHeight="1">
      <c r="A32" s="70">
        <v>5.0</v>
      </c>
      <c r="B32" s="84" t="str">
        <f>IFERROR(__xludf.DUMMYFUNCTION("""COMPUTED_VALUE"""),"2. Microsoft Project")</f>
        <v>2. Microsoft Project</v>
      </c>
      <c r="C32" s="36"/>
      <c r="D32" s="84" t="str">
        <f>IFERROR(__xludf.DUMMYFUNCTION("""COMPUTED_VALUE"""),"Asignación de Recursos")</f>
        <v>Asignación de Recursos</v>
      </c>
      <c r="E32" s="36"/>
      <c r="F32" s="84" t="str">
        <f>IFERROR(__xludf.DUMMYFUNCTION("""COMPUTED_VALUE"""),"Estimación de tiempos y costos")</f>
        <v>Estimación de tiempos y costos</v>
      </c>
      <c r="G32" s="35"/>
      <c r="H32" s="36"/>
    </row>
    <row r="33" ht="15.75" customHeight="1">
      <c r="A33" s="70">
        <v>6.0</v>
      </c>
      <c r="B33" s="84" t="str">
        <f>IFERROR(__xludf.DUMMYFUNCTION("""COMPUTED_VALUE"""),"2. Microsoft Project")</f>
        <v>2. Microsoft Project</v>
      </c>
      <c r="C33" s="36"/>
      <c r="D33" s="84" t="str">
        <f>IFERROR(__xludf.DUMMYFUNCTION("""COMPUTED_VALUE"""),"Asignación de Recursos")</f>
        <v>Asignación de Recursos</v>
      </c>
      <c r="E33" s="36"/>
      <c r="F33" s="84" t="str">
        <f>IFERROR(__xludf.DUMMYFUNCTION("""COMPUTED_VALUE"""),"Asignación de recursos")</f>
        <v>Asignación de recursos</v>
      </c>
      <c r="G33" s="35"/>
      <c r="H33" s="36"/>
    </row>
    <row r="34" ht="15.75" customHeight="1">
      <c r="A34" s="70">
        <v>7.0</v>
      </c>
      <c r="B34" s="84" t="str">
        <f>IFERROR(__xludf.DUMMYFUNCTION("""COMPUTED_VALUE"""),"2. Microsoft Project")</f>
        <v>2. Microsoft Project</v>
      </c>
      <c r="C34" s="36"/>
      <c r="D34" s="84" t="str">
        <f>IFERROR(__xludf.DUMMYFUNCTION("""COMPUTED_VALUE"""),"Gestión de Costos")</f>
        <v>Gestión de Costos</v>
      </c>
      <c r="E34" s="36"/>
      <c r="F34" s="84" t="str">
        <f>IFERROR(__xludf.DUMMYFUNCTION("""COMPUTED_VALUE"""),"Análisis de costos")</f>
        <v>Análisis de costos</v>
      </c>
      <c r="G34" s="35"/>
      <c r="H34" s="36"/>
    </row>
    <row r="35" ht="15.75" customHeight="1"/>
    <row r="36" ht="15.75" customHeight="1">
      <c r="A36" s="110" t="s">
        <v>237</v>
      </c>
    </row>
    <row r="37" ht="15.75" customHeight="1">
      <c r="A37" s="6"/>
      <c r="B37" s="6"/>
      <c r="C37" s="6"/>
      <c r="D37" s="6"/>
      <c r="E37" s="6"/>
      <c r="F37" s="6"/>
      <c r="G37" s="6"/>
      <c r="H37" s="6"/>
    </row>
    <row r="38">
      <c r="A38" s="126" t="s">
        <v>238</v>
      </c>
      <c r="B38" s="126" t="s">
        <v>33</v>
      </c>
      <c r="C38" s="128" t="s">
        <v>270</v>
      </c>
      <c r="D38" s="124" t="s">
        <v>271</v>
      </c>
      <c r="E38" s="35"/>
      <c r="F38" s="35"/>
      <c r="G38" s="35"/>
      <c r="H38" s="36"/>
      <c r="I38" s="115" t="s">
        <v>18</v>
      </c>
    </row>
    <row r="39" ht="15.75" customHeight="1">
      <c r="A39" s="70" t="s">
        <v>240</v>
      </c>
      <c r="B39" s="70" t="s">
        <v>241</v>
      </c>
      <c r="C39" s="70">
        <v>30.0</v>
      </c>
      <c r="D39" s="94">
        <v>20.0</v>
      </c>
      <c r="E39" s="35"/>
      <c r="F39" s="35"/>
      <c r="G39" s="35"/>
      <c r="H39" s="36"/>
      <c r="I39" s="70" t="str">
        <f t="shared" ref="I39:I42" si="1">IF(D39&lt;=C39,"Correcto", "Corregir")</f>
        <v>Correcto</v>
      </c>
    </row>
    <row r="40" ht="15.75" customHeight="1">
      <c r="A40" s="70" t="s">
        <v>243</v>
      </c>
      <c r="B40" s="70" t="s">
        <v>241</v>
      </c>
      <c r="C40" s="70">
        <v>6.0</v>
      </c>
      <c r="D40" s="94">
        <v>5.0</v>
      </c>
      <c r="E40" s="35"/>
      <c r="F40" s="35"/>
      <c r="G40" s="35"/>
      <c r="H40" s="36"/>
      <c r="I40" s="70" t="str">
        <f t="shared" si="1"/>
        <v>Correcto</v>
      </c>
    </row>
    <row r="41" ht="15.75" customHeight="1">
      <c r="A41" s="70" t="s">
        <v>244</v>
      </c>
      <c r="B41" s="70" t="s">
        <v>245</v>
      </c>
      <c r="C41" s="70">
        <v>10.0</v>
      </c>
      <c r="D41" s="94">
        <v>0.0</v>
      </c>
      <c r="E41" s="35"/>
      <c r="F41" s="35"/>
      <c r="G41" s="35"/>
      <c r="H41" s="36"/>
      <c r="I41" s="70" t="str">
        <f t="shared" si="1"/>
        <v>Correcto</v>
      </c>
    </row>
    <row r="42" ht="15.75" customHeight="1">
      <c r="A42" s="70" t="s">
        <v>247</v>
      </c>
      <c r="B42" s="70" t="s">
        <v>241</v>
      </c>
      <c r="C42" s="70">
        <v>30.0</v>
      </c>
      <c r="D42" s="94">
        <v>25.0</v>
      </c>
      <c r="E42" s="35"/>
      <c r="F42" s="35"/>
      <c r="G42" s="35"/>
      <c r="H42" s="36"/>
      <c r="I42" s="70" t="str">
        <f t="shared" si="1"/>
        <v>Correcto</v>
      </c>
    </row>
    <row r="43" ht="15.75" customHeight="1"/>
    <row r="44" ht="15.75" customHeight="1">
      <c r="A44" s="103" t="s">
        <v>249</v>
      </c>
      <c r="G44" s="98" t="s">
        <v>178</v>
      </c>
      <c r="H44" s="104">
        <f>B50+B61</f>
        <v>40</v>
      </c>
    </row>
    <row r="45" ht="15.75" customHeight="1">
      <c r="G45" s="89" t="s">
        <v>250</v>
      </c>
    </row>
    <row r="46" ht="15.75" customHeight="1">
      <c r="A46" s="89" t="s">
        <v>251</v>
      </c>
    </row>
    <row r="47">
      <c r="A47" s="92" t="s">
        <v>252</v>
      </c>
      <c r="B47" s="94" t="s">
        <v>314</v>
      </c>
      <c r="C47" s="35"/>
      <c r="D47" s="35"/>
      <c r="E47" s="35"/>
      <c r="F47" s="35"/>
      <c r="G47" s="35"/>
      <c r="H47" s="36"/>
    </row>
    <row r="48" ht="15.75" customHeight="1">
      <c r="A48" s="92" t="s">
        <v>8</v>
      </c>
      <c r="B48" s="94" t="s">
        <v>258</v>
      </c>
      <c r="C48" s="35"/>
      <c r="D48" s="35"/>
      <c r="E48" s="35"/>
      <c r="F48" s="35"/>
      <c r="G48" s="35"/>
      <c r="H48" s="36"/>
    </row>
    <row r="49" ht="15.75" customHeight="1">
      <c r="A49" s="92" t="s">
        <v>217</v>
      </c>
      <c r="B49" s="135">
        <v>0.0</v>
      </c>
      <c r="C49" s="35"/>
      <c r="D49" s="35"/>
      <c r="E49" s="35"/>
      <c r="F49" s="35"/>
      <c r="G49" s="35"/>
      <c r="H49" s="36"/>
    </row>
    <row r="50" ht="15.75" customHeight="1">
      <c r="A50" s="92" t="s">
        <v>178</v>
      </c>
      <c r="B50" s="94">
        <v>30.0</v>
      </c>
      <c r="C50" s="35"/>
      <c r="D50" s="35"/>
      <c r="E50" s="35"/>
      <c r="F50" s="35"/>
      <c r="G50" s="35"/>
      <c r="H50" s="36"/>
    </row>
    <row r="51" ht="15.75" customHeight="1">
      <c r="A51" s="117" t="s">
        <v>254</v>
      </c>
      <c r="B51" s="6"/>
      <c r="C51" s="6"/>
      <c r="D51" s="6"/>
      <c r="E51" s="6"/>
      <c r="F51" s="6"/>
      <c r="G51" s="6"/>
      <c r="H51" s="6"/>
    </row>
    <row r="52" ht="15.75" customHeight="1">
      <c r="A52" s="118" t="s">
        <v>255</v>
      </c>
      <c r="B52" s="35"/>
      <c r="C52" s="35"/>
      <c r="D52" s="35"/>
      <c r="E52" s="35"/>
      <c r="F52" s="35"/>
      <c r="G52" s="35"/>
      <c r="H52" s="36"/>
    </row>
    <row r="53" ht="15.75" customHeight="1">
      <c r="A53" s="119" t="s">
        <v>315</v>
      </c>
      <c r="B53" s="61"/>
      <c r="C53" s="61"/>
      <c r="D53" s="61"/>
      <c r="E53" s="61"/>
      <c r="F53" s="61"/>
      <c r="G53" s="61"/>
      <c r="H53" s="62"/>
    </row>
    <row r="54" ht="15.75" customHeight="1">
      <c r="A54" s="120"/>
      <c r="H54" s="121"/>
    </row>
    <row r="55" ht="15.75" customHeight="1">
      <c r="A55" s="63"/>
      <c r="B55" s="64"/>
      <c r="C55" s="64"/>
      <c r="D55" s="64"/>
      <c r="E55" s="64"/>
      <c r="F55" s="64"/>
      <c r="G55" s="64"/>
      <c r="H55" s="65"/>
    </row>
    <row r="56" ht="15.75" customHeight="1"/>
    <row r="57" ht="15.75" customHeight="1">
      <c r="A57" s="89" t="s">
        <v>257</v>
      </c>
    </row>
    <row r="58">
      <c r="A58" s="92" t="s">
        <v>252</v>
      </c>
      <c r="B58" s="94" t="s">
        <v>316</v>
      </c>
      <c r="C58" s="35"/>
      <c r="D58" s="35"/>
      <c r="E58" s="35"/>
      <c r="F58" s="35"/>
      <c r="G58" s="35"/>
      <c r="H58" s="36"/>
    </row>
    <row r="59" ht="15.75" customHeight="1">
      <c r="A59" s="92" t="s">
        <v>8</v>
      </c>
      <c r="B59" s="94" t="s">
        <v>317</v>
      </c>
      <c r="C59" s="35"/>
      <c r="D59" s="35"/>
      <c r="E59" s="35"/>
      <c r="F59" s="35"/>
      <c r="G59" s="35"/>
      <c r="H59" s="36"/>
    </row>
    <row r="60" ht="15.75" customHeight="1">
      <c r="A60" s="92" t="s">
        <v>217</v>
      </c>
      <c r="B60" s="116">
        <v>0.0</v>
      </c>
      <c r="C60" s="35"/>
      <c r="D60" s="35"/>
      <c r="E60" s="35"/>
      <c r="F60" s="35"/>
      <c r="G60" s="35"/>
      <c r="H60" s="36"/>
    </row>
    <row r="61" ht="15.75" customHeight="1">
      <c r="A61" s="92" t="s">
        <v>178</v>
      </c>
      <c r="B61" s="116">
        <v>10.0</v>
      </c>
      <c r="C61" s="35"/>
      <c r="D61" s="35"/>
      <c r="E61" s="35"/>
      <c r="F61" s="35"/>
      <c r="G61" s="35"/>
      <c r="H61" s="36"/>
    </row>
    <row r="62" ht="15.75" customHeight="1">
      <c r="A62" s="123" t="s">
        <v>259</v>
      </c>
      <c r="B62" s="6"/>
      <c r="C62" s="6"/>
      <c r="D62" s="6"/>
      <c r="E62" s="6"/>
      <c r="F62" s="6"/>
      <c r="G62" s="6"/>
      <c r="H62" s="6"/>
    </row>
    <row r="63" ht="15.75" customHeight="1">
      <c r="A63" s="118" t="s">
        <v>255</v>
      </c>
      <c r="B63" s="35"/>
      <c r="C63" s="35"/>
      <c r="D63" s="35"/>
      <c r="E63" s="35"/>
      <c r="F63" s="35"/>
      <c r="G63" s="35"/>
      <c r="H63" s="36"/>
    </row>
    <row r="64" ht="15.75" customHeight="1">
      <c r="A64" s="119" t="s">
        <v>318</v>
      </c>
      <c r="B64" s="61"/>
      <c r="C64" s="61"/>
      <c r="D64" s="61"/>
      <c r="E64" s="61"/>
      <c r="F64" s="61"/>
      <c r="G64" s="61"/>
      <c r="H64" s="62"/>
    </row>
    <row r="65" ht="15.75" customHeight="1">
      <c r="A65" s="120"/>
      <c r="H65" s="121"/>
    </row>
    <row r="66" ht="15.75" customHeight="1">
      <c r="A66" s="63"/>
      <c r="B66" s="64"/>
      <c r="C66" s="64"/>
      <c r="D66" s="64"/>
      <c r="E66" s="64"/>
      <c r="F66" s="64"/>
      <c r="G66" s="64"/>
      <c r="H66" s="65"/>
    </row>
    <row r="67" ht="15.75" customHeight="1"/>
    <row r="68" ht="15.75" customHeight="1">
      <c r="A68" s="103" t="s">
        <v>261</v>
      </c>
      <c r="G68" s="98" t="s">
        <v>178</v>
      </c>
      <c r="H68" s="104">
        <f>B70</f>
        <v>10</v>
      </c>
    </row>
    <row r="69" ht="15.75" customHeight="1">
      <c r="G69" s="89" t="s">
        <v>262</v>
      </c>
    </row>
    <row r="70" ht="15.75" customHeight="1">
      <c r="A70" s="92" t="s">
        <v>178</v>
      </c>
      <c r="B70" s="116">
        <v>10.0</v>
      </c>
      <c r="C70" s="35"/>
      <c r="D70" s="35"/>
      <c r="E70" s="35"/>
      <c r="F70" s="35"/>
      <c r="G70" s="35"/>
      <c r="H70" s="36"/>
    </row>
    <row r="71" ht="15.75" customHeight="1">
      <c r="A71" s="124" t="s">
        <v>263</v>
      </c>
      <c r="B71" s="35"/>
      <c r="C71" s="35"/>
      <c r="D71" s="35"/>
      <c r="E71" s="35"/>
      <c r="F71" s="35"/>
      <c r="G71" s="35"/>
      <c r="H71" s="36"/>
    </row>
    <row r="72" ht="15.75" customHeight="1">
      <c r="A72" s="119" t="s">
        <v>319</v>
      </c>
      <c r="B72" s="61"/>
      <c r="C72" s="61"/>
      <c r="D72" s="61"/>
      <c r="E72" s="61"/>
      <c r="F72" s="61"/>
      <c r="G72" s="61"/>
      <c r="H72" s="62"/>
    </row>
    <row r="73" ht="15.75" customHeight="1">
      <c r="A73" s="63"/>
      <c r="B73" s="64"/>
      <c r="C73" s="64"/>
      <c r="D73" s="64"/>
      <c r="E73" s="64"/>
      <c r="F73" s="64"/>
      <c r="G73" s="64"/>
      <c r="H73" s="65"/>
    </row>
    <row r="74" ht="15.75" customHeight="1">
      <c r="A74" s="89" t="s">
        <v>265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216</v>
      </c>
    </row>
    <row r="3" ht="15.75" customHeight="1"/>
    <row r="4" ht="15.75" customHeight="1">
      <c r="B4" s="83" t="s">
        <v>1</v>
      </c>
      <c r="C4" s="100" t="str">
        <f>'Diseño'!C4</f>
        <v>667 - Programacion Comercial 1</v>
      </c>
      <c r="D4" s="35"/>
      <c r="E4" s="35"/>
      <c r="F4" s="35"/>
      <c r="G4" s="36"/>
    </row>
    <row r="5" ht="15.75" customHeight="1">
      <c r="B5" s="70" t="s">
        <v>79</v>
      </c>
      <c r="C5" s="84">
        <v>8.0</v>
      </c>
      <c r="D5" s="35"/>
      <c r="E5" s="35"/>
      <c r="F5" s="35"/>
      <c r="G5" s="36"/>
    </row>
    <row r="6" ht="15.75" customHeight="1">
      <c r="B6" s="101" t="s">
        <v>175</v>
      </c>
      <c r="C6" s="84">
        <f>H10+H21+H44+H68</f>
        <v>100</v>
      </c>
      <c r="D6" s="35"/>
      <c r="E6" s="35"/>
      <c r="F6" s="35"/>
      <c r="G6" s="36"/>
      <c r="I6" s="6"/>
    </row>
    <row r="7" ht="15.75" customHeight="1">
      <c r="B7" s="101" t="s">
        <v>217</v>
      </c>
      <c r="C7" s="84">
        <f>B49+B60</f>
        <v>0</v>
      </c>
      <c r="D7" s="35"/>
      <c r="E7" s="35"/>
      <c r="F7" s="35"/>
      <c r="G7" s="36"/>
    </row>
    <row r="8" ht="15.75" customHeight="1">
      <c r="B8" s="101" t="s">
        <v>218</v>
      </c>
      <c r="C8" s="102" t="str">
        <f>IF(H44&lt;=0, "❌ ERROR: La Actividad 1 debe tener un tiempo mayor a 0.", IF(H21&gt;60, "❌ ERROR: El 'Área de Conocimiento' no puede exceder los 60 min.", IF((H10+H21+H44+H68)&lt;100, "❌ ERROR: El tiempo total debe ser de al menos 100 min.", "✅ VALIDACIÓN CORRECTA")))</f>
        <v>✅ VALIDACIÓN CORRECTA</v>
      </c>
      <c r="D8" s="35"/>
      <c r="E8" s="35"/>
      <c r="F8" s="35"/>
      <c r="G8" s="36"/>
      <c r="I8" s="6"/>
      <c r="J8" s="6"/>
      <c r="K8" s="6"/>
    </row>
    <row r="9" ht="15.75" customHeight="1"/>
    <row r="10" ht="15.75" customHeight="1">
      <c r="A10" s="103" t="s">
        <v>219</v>
      </c>
      <c r="G10" s="98" t="s">
        <v>178</v>
      </c>
      <c r="H10" s="104">
        <f>B13</f>
        <v>5</v>
      </c>
    </row>
    <row r="11" ht="15.75" customHeight="1">
      <c r="G11" s="89" t="s">
        <v>220</v>
      </c>
    </row>
    <row r="12" ht="15.75" customHeight="1">
      <c r="A12" s="92" t="s">
        <v>221</v>
      </c>
      <c r="B12" s="94" t="s">
        <v>320</v>
      </c>
      <c r="C12" s="35"/>
      <c r="D12" s="35"/>
      <c r="E12" s="35"/>
      <c r="F12" s="35"/>
      <c r="G12" s="35"/>
      <c r="H12" s="36"/>
    </row>
    <row r="13" ht="15.75" customHeight="1">
      <c r="A13" s="93" t="s">
        <v>178</v>
      </c>
      <c r="B13" s="94">
        <v>5.0</v>
      </c>
      <c r="C13" s="35"/>
      <c r="D13" s="35"/>
      <c r="E13" s="35"/>
      <c r="F13" s="35"/>
      <c r="G13" s="35"/>
      <c r="H13" s="36"/>
    </row>
    <row r="14" ht="15.75" customHeight="1">
      <c r="A14" s="118" t="s">
        <v>223</v>
      </c>
      <c r="B14" s="35"/>
      <c r="C14" s="35"/>
      <c r="D14" s="35"/>
      <c r="E14" s="35"/>
      <c r="F14" s="35"/>
      <c r="G14" s="35"/>
      <c r="H14" s="36"/>
    </row>
    <row r="15" ht="15.75" customHeight="1">
      <c r="A15" s="119" t="s">
        <v>321</v>
      </c>
      <c r="B15" s="61"/>
      <c r="C15" s="61"/>
      <c r="D15" s="61"/>
      <c r="E15" s="61"/>
      <c r="F15" s="61"/>
      <c r="G15" s="61"/>
      <c r="H15" s="62"/>
    </row>
    <row r="16" ht="15.75" customHeight="1">
      <c r="A16" s="63"/>
      <c r="B16" s="64"/>
      <c r="C16" s="64"/>
      <c r="D16" s="64"/>
      <c r="E16" s="64"/>
      <c r="F16" s="64"/>
      <c r="G16" s="64"/>
      <c r="H16" s="65"/>
    </row>
    <row r="17" ht="15.75" customHeight="1">
      <c r="A17" s="118" t="s">
        <v>225</v>
      </c>
      <c r="B17" s="35"/>
      <c r="C17" s="35"/>
      <c r="D17" s="35"/>
      <c r="E17" s="35"/>
      <c r="F17" s="35"/>
      <c r="G17" s="35"/>
      <c r="H17" s="36"/>
    </row>
    <row r="18" ht="15.75" customHeight="1">
      <c r="A18" s="119" t="s">
        <v>322</v>
      </c>
      <c r="B18" s="61"/>
      <c r="C18" s="61"/>
      <c r="D18" s="61"/>
      <c r="E18" s="61"/>
      <c r="F18" s="61"/>
      <c r="G18" s="61"/>
      <c r="H18" s="62"/>
    </row>
    <row r="19" ht="15.75" customHeight="1">
      <c r="A19" s="63"/>
      <c r="B19" s="64"/>
      <c r="C19" s="64"/>
      <c r="D19" s="64"/>
      <c r="E19" s="64"/>
      <c r="F19" s="64"/>
      <c r="G19" s="64"/>
      <c r="H19" s="65"/>
    </row>
    <row r="20" ht="15.75" customHeight="1"/>
    <row r="21" ht="15.75" customHeight="1">
      <c r="A21" s="103" t="s">
        <v>227</v>
      </c>
      <c r="G21" s="98" t="s">
        <v>178</v>
      </c>
      <c r="H21" s="104">
        <f>SUM(D39:H42)</f>
        <v>55</v>
      </c>
      <c r="I21" s="6"/>
    </row>
    <row r="22" ht="15.75" customHeight="1">
      <c r="G22" s="89" t="s">
        <v>228</v>
      </c>
    </row>
    <row r="23" ht="15.75" customHeight="1">
      <c r="A23" s="92" t="s">
        <v>229</v>
      </c>
      <c r="B23" s="94" t="s">
        <v>323</v>
      </c>
      <c r="C23" s="35"/>
      <c r="D23" s="35"/>
      <c r="E23" s="35"/>
      <c r="F23" s="35"/>
      <c r="G23" s="35"/>
      <c r="H23" s="36"/>
    </row>
    <row r="24" ht="15.75" customHeight="1">
      <c r="A24" s="92" t="s">
        <v>229</v>
      </c>
      <c r="B24" s="94" t="s">
        <v>142</v>
      </c>
      <c r="C24" s="35"/>
      <c r="D24" s="35"/>
      <c r="E24" s="35"/>
      <c r="F24" s="35"/>
      <c r="G24" s="35"/>
      <c r="H24" s="36"/>
    </row>
    <row r="25" ht="15.75" customHeight="1"/>
    <row r="26" ht="15.75" customHeight="1">
      <c r="A26" s="110" t="s">
        <v>230</v>
      </c>
      <c r="B26" s="6"/>
      <c r="C26" s="6"/>
      <c r="D26" s="6"/>
    </row>
    <row r="27" ht="15.75" customHeight="1">
      <c r="A27" s="126" t="s">
        <v>73</v>
      </c>
      <c r="B27" s="127" t="s">
        <v>231</v>
      </c>
      <c r="C27" s="36"/>
      <c r="D27" s="127" t="s">
        <v>232</v>
      </c>
      <c r="E27" s="36"/>
      <c r="F27" s="127" t="s">
        <v>233</v>
      </c>
      <c r="G27" s="35"/>
      <c r="H27" s="36"/>
    </row>
    <row r="28" ht="15.75" customHeight="1">
      <c r="A28" s="70">
        <v>1.0</v>
      </c>
      <c r="B28" s="84" t="str">
        <f>IFERROR(__xludf.DUMMYFUNCTION("FILTER('Diseño'!D:D,'Diseño'!H:H=$C$5)"),"3. Powe Bi")</f>
        <v>3. Powe Bi</v>
      </c>
      <c r="C28" s="36"/>
      <c r="D28" s="84" t="str">
        <f>IFERROR(__xludf.DUMMYFUNCTION("FILTER('Diseño'!E:E,'Diseño'!H:H=$C$5)"),"Analisis de datos")</f>
        <v>Analisis de datos</v>
      </c>
      <c r="E28" s="36"/>
      <c r="F28" s="84" t="str">
        <f>IFERROR(__xludf.DUMMYFUNCTION("FILTER('Diseño'!F:F,'Diseño'!H:H=$C$5)"),"Interpretación de costos")</f>
        <v>Interpretación de costos</v>
      </c>
      <c r="G28" s="35"/>
      <c r="H28" s="36"/>
    </row>
    <row r="29" ht="15.75" customHeight="1">
      <c r="A29" s="70">
        <v>2.0</v>
      </c>
      <c r="B29" s="84" t="str">
        <f>IFERROR(__xludf.DUMMYFUNCTION("""COMPUTED_VALUE"""),"3. Powe Bi")</f>
        <v>3. Powe Bi</v>
      </c>
      <c r="C29" s="36"/>
      <c r="D29" s="84" t="str">
        <f>IFERROR(__xludf.DUMMYFUNCTION("""COMPUTED_VALUE"""),"Analisis de datos")</f>
        <v>Analisis de datos</v>
      </c>
      <c r="E29" s="36"/>
      <c r="F29" s="84" t="str">
        <f>IFERROR(__xludf.DUMMYFUNCTION("""COMPUTED_VALUE"""),"Evaluación de costos en tomas de desiciones")</f>
        <v>Evaluación de costos en tomas de desiciones</v>
      </c>
      <c r="G29" s="35"/>
      <c r="H29" s="36"/>
    </row>
    <row r="30" ht="15.75" customHeight="1">
      <c r="A30" s="70">
        <v>3.0</v>
      </c>
      <c r="B30" s="84" t="str">
        <f>IFERROR(__xludf.DUMMYFUNCTION("""COMPUTED_VALUE"""),"3. Powe Bi")</f>
        <v>3. Powe Bi</v>
      </c>
      <c r="C30" s="36"/>
      <c r="D30" s="84" t="str">
        <f>IFERROR(__xludf.DUMMYFUNCTION("""COMPUTED_VALUE"""),"Analisis de datos")</f>
        <v>Analisis de datos</v>
      </c>
      <c r="E30" s="36"/>
      <c r="F30" s="84" t="str">
        <f>IFERROR(__xludf.DUMMYFUNCTION("""COMPUTED_VALUE"""),"¿Qué es el análisis de datos?")</f>
        <v>¿Qué es el análisis de datos?</v>
      </c>
      <c r="G30" s="35"/>
      <c r="H30" s="36"/>
    </row>
    <row r="31" ht="15.75" customHeight="1">
      <c r="A31" s="70">
        <v>4.0</v>
      </c>
      <c r="B31" s="84" t="str">
        <f>IFERROR(__xludf.DUMMYFUNCTION("""COMPUTED_VALUE"""),"3. Powe Bi")</f>
        <v>3. Powe Bi</v>
      </c>
      <c r="C31" s="36"/>
      <c r="D31" s="84" t="str">
        <f>IFERROR(__xludf.DUMMYFUNCTION("""COMPUTED_VALUE"""),"Analisis de datos")</f>
        <v>Analisis de datos</v>
      </c>
      <c r="E31" s="36"/>
      <c r="F31" s="84" t="str">
        <f>IFERROR(__xludf.DUMMYFUNCTION("""COMPUTED_VALUE"""),"Conceptos básicos: datos, información y conocimiento.")</f>
        <v>Conceptos básicos: datos, información y conocimiento.</v>
      </c>
      <c r="G31" s="35"/>
      <c r="H31" s="36"/>
    </row>
    <row r="32" ht="15.75" customHeight="1">
      <c r="A32" s="70">
        <v>5.0</v>
      </c>
      <c r="B32" s="84" t="str">
        <f>IFERROR(__xludf.DUMMYFUNCTION("""COMPUTED_VALUE"""),"3. Powe Bi")</f>
        <v>3. Powe Bi</v>
      </c>
      <c r="C32" s="36"/>
      <c r="D32" s="84" t="str">
        <f>IFERROR(__xludf.DUMMYFUNCTION("""COMPUTED_VALUE"""),"Analisis de datos")</f>
        <v>Analisis de datos</v>
      </c>
      <c r="E32" s="36"/>
      <c r="F32" s="84" t="str">
        <f>IFERROR(__xludf.DUMMYFUNCTION("""COMPUTED_VALUE"""),"Tipos de análisis: descriptivo, predictivo, prescriptivo.")</f>
        <v>Tipos de análisis: descriptivo, predictivo, prescriptivo.</v>
      </c>
      <c r="G32" s="35"/>
      <c r="H32" s="36"/>
    </row>
    <row r="33" ht="15.75" customHeight="1">
      <c r="A33" s="70">
        <v>6.0</v>
      </c>
      <c r="B33" s="84" t="str">
        <f>IFERROR(__xludf.DUMMYFUNCTION("""COMPUTED_VALUE"""),"3. Powe Bi")</f>
        <v>3. Powe Bi</v>
      </c>
      <c r="C33" s="36"/>
      <c r="D33" s="84" t="str">
        <f>IFERROR(__xludf.DUMMYFUNCTION("""COMPUTED_VALUE"""),"Analisis de datos")</f>
        <v>Analisis de datos</v>
      </c>
      <c r="E33" s="36"/>
      <c r="F33" s="84" t="str">
        <f>IFERROR(__xludf.DUMMYFUNCTION("""COMPUTED_VALUE"""),"Introducción a Power BI")</f>
        <v>Introducción a Power BI</v>
      </c>
      <c r="G33" s="35"/>
      <c r="H33" s="36"/>
    </row>
    <row r="34" ht="15.75" customHeight="1">
      <c r="A34" s="70">
        <v>7.0</v>
      </c>
      <c r="B34" s="84" t="str">
        <f>IFERROR(__xludf.DUMMYFUNCTION("""COMPUTED_VALUE"""),"3. Powe Bi")</f>
        <v>3. Powe Bi</v>
      </c>
      <c r="C34" s="36"/>
      <c r="D34" s="84" t="str">
        <f>IFERROR(__xludf.DUMMYFUNCTION("""COMPUTED_VALUE"""),"Analisis de datos")</f>
        <v>Analisis de datos</v>
      </c>
      <c r="E34" s="36"/>
      <c r="F34" s="84" t="str">
        <f>IFERROR(__xludf.DUMMYFUNCTION("""COMPUTED_VALUE"""),"¿Qué es Power BI y para qué sirve?")</f>
        <v>¿Qué es Power BI y para qué sirve?</v>
      </c>
      <c r="G34" s="35"/>
      <c r="H34" s="36"/>
    </row>
    <row r="35" ht="15.75" customHeight="1"/>
    <row r="36" ht="15.75" customHeight="1">
      <c r="A36" s="110" t="s">
        <v>237</v>
      </c>
    </row>
    <row r="37" ht="15.75" customHeight="1">
      <c r="A37" s="6"/>
      <c r="B37" s="6"/>
      <c r="C37" s="6"/>
      <c r="D37" s="6"/>
      <c r="E37" s="6"/>
      <c r="F37" s="6"/>
      <c r="G37" s="6"/>
      <c r="H37" s="6"/>
    </row>
    <row r="38">
      <c r="A38" s="126" t="s">
        <v>238</v>
      </c>
      <c r="B38" s="126" t="s">
        <v>33</v>
      </c>
      <c r="C38" s="128" t="s">
        <v>270</v>
      </c>
      <c r="D38" s="124" t="s">
        <v>271</v>
      </c>
      <c r="E38" s="35"/>
      <c r="F38" s="35"/>
      <c r="G38" s="35"/>
      <c r="H38" s="36"/>
      <c r="I38" s="115" t="s">
        <v>18</v>
      </c>
    </row>
    <row r="39" ht="15.75" customHeight="1">
      <c r="A39" s="70" t="s">
        <v>240</v>
      </c>
      <c r="B39" s="70" t="s">
        <v>241</v>
      </c>
      <c r="C39" s="70">
        <v>30.0</v>
      </c>
      <c r="D39" s="94">
        <v>25.0</v>
      </c>
      <c r="E39" s="35"/>
      <c r="F39" s="35"/>
      <c r="G39" s="35"/>
      <c r="H39" s="36"/>
      <c r="I39" s="70" t="str">
        <f t="shared" ref="I39:I42" si="1">IF(D39&lt;=C39,"Correcto", "Corregir")</f>
        <v>Correcto</v>
      </c>
    </row>
    <row r="40" ht="15.75" customHeight="1">
      <c r="A40" s="70" t="s">
        <v>243</v>
      </c>
      <c r="B40" s="70" t="s">
        <v>241</v>
      </c>
      <c r="C40" s="70">
        <v>6.0</v>
      </c>
      <c r="D40" s="94">
        <v>5.0</v>
      </c>
      <c r="E40" s="35"/>
      <c r="F40" s="35"/>
      <c r="G40" s="35"/>
      <c r="H40" s="36"/>
      <c r="I40" s="70" t="str">
        <f t="shared" si="1"/>
        <v>Correcto</v>
      </c>
    </row>
    <row r="41" ht="15.75" customHeight="1">
      <c r="A41" s="70" t="s">
        <v>244</v>
      </c>
      <c r="B41" s="70" t="s">
        <v>245</v>
      </c>
      <c r="C41" s="70">
        <v>10.0</v>
      </c>
      <c r="D41" s="94">
        <v>0.0</v>
      </c>
      <c r="E41" s="35"/>
      <c r="F41" s="35"/>
      <c r="G41" s="35"/>
      <c r="H41" s="36"/>
      <c r="I41" s="70" t="str">
        <f t="shared" si="1"/>
        <v>Correcto</v>
      </c>
    </row>
    <row r="42" ht="15.75" customHeight="1">
      <c r="A42" s="70" t="s">
        <v>247</v>
      </c>
      <c r="B42" s="70" t="s">
        <v>241</v>
      </c>
      <c r="C42" s="70">
        <v>30.0</v>
      </c>
      <c r="D42" s="94">
        <v>25.0</v>
      </c>
      <c r="E42" s="35"/>
      <c r="F42" s="35"/>
      <c r="G42" s="35"/>
      <c r="H42" s="36"/>
      <c r="I42" s="70" t="str">
        <f t="shared" si="1"/>
        <v>Correcto</v>
      </c>
    </row>
    <row r="43" ht="15.75" customHeight="1"/>
    <row r="44" ht="15.75" customHeight="1">
      <c r="A44" s="103" t="s">
        <v>249</v>
      </c>
      <c r="G44" s="98" t="s">
        <v>178</v>
      </c>
      <c r="H44" s="104">
        <f>B50</f>
        <v>30</v>
      </c>
    </row>
    <row r="45" ht="15.75" customHeight="1">
      <c r="G45" s="89" t="s">
        <v>250</v>
      </c>
    </row>
    <row r="46" ht="15.75" customHeight="1">
      <c r="A46" s="89" t="s">
        <v>251</v>
      </c>
    </row>
    <row r="47">
      <c r="A47" s="92" t="s">
        <v>252</v>
      </c>
      <c r="B47" s="94" t="s">
        <v>152</v>
      </c>
      <c r="C47" s="35"/>
      <c r="D47" s="35"/>
      <c r="E47" s="35"/>
      <c r="F47" s="35"/>
      <c r="G47" s="35"/>
      <c r="H47" s="36"/>
    </row>
    <row r="48" ht="15.75" customHeight="1">
      <c r="A48" s="92" t="s">
        <v>8</v>
      </c>
      <c r="B48" s="94" t="s">
        <v>306</v>
      </c>
      <c r="C48" s="35"/>
      <c r="D48" s="35"/>
      <c r="E48" s="35"/>
      <c r="F48" s="35"/>
      <c r="G48" s="35"/>
      <c r="H48" s="36"/>
    </row>
    <row r="49" ht="15.75" customHeight="1">
      <c r="A49" s="92" t="s">
        <v>217</v>
      </c>
      <c r="B49" s="135">
        <v>0.0</v>
      </c>
      <c r="C49" s="35"/>
      <c r="D49" s="35"/>
      <c r="E49" s="35"/>
      <c r="F49" s="35"/>
      <c r="G49" s="35"/>
      <c r="H49" s="36"/>
    </row>
    <row r="50" ht="15.75" customHeight="1">
      <c r="A50" s="92" t="s">
        <v>178</v>
      </c>
      <c r="B50" s="94">
        <v>30.0</v>
      </c>
      <c r="C50" s="35"/>
      <c r="D50" s="35"/>
      <c r="E50" s="35"/>
      <c r="F50" s="35"/>
      <c r="G50" s="35"/>
      <c r="H50" s="36"/>
    </row>
    <row r="51" ht="15.75" customHeight="1">
      <c r="A51" s="117" t="s">
        <v>254</v>
      </c>
      <c r="B51" s="6"/>
      <c r="C51" s="6"/>
      <c r="D51" s="6"/>
      <c r="E51" s="6"/>
      <c r="F51" s="6"/>
      <c r="G51" s="6"/>
      <c r="H51" s="6"/>
    </row>
    <row r="52" ht="15.75" customHeight="1">
      <c r="A52" s="118" t="s">
        <v>255</v>
      </c>
      <c r="B52" s="35"/>
      <c r="C52" s="35"/>
      <c r="D52" s="35"/>
      <c r="E52" s="35"/>
      <c r="F52" s="35"/>
      <c r="G52" s="35"/>
      <c r="H52" s="36"/>
    </row>
    <row r="53" ht="15.75" customHeight="1">
      <c r="A53" s="119" t="s">
        <v>324</v>
      </c>
      <c r="B53" s="61"/>
      <c r="C53" s="61"/>
      <c r="D53" s="61"/>
      <c r="E53" s="61"/>
      <c r="F53" s="61"/>
      <c r="G53" s="61"/>
      <c r="H53" s="62"/>
    </row>
    <row r="54" ht="15.75" customHeight="1">
      <c r="A54" s="120"/>
      <c r="H54" s="121"/>
    </row>
    <row r="55" ht="15.75" customHeight="1">
      <c r="A55" s="63"/>
      <c r="B55" s="64"/>
      <c r="C55" s="64"/>
      <c r="D55" s="64"/>
      <c r="E55" s="64"/>
      <c r="F55" s="64"/>
      <c r="G55" s="64"/>
      <c r="H55" s="65"/>
    </row>
    <row r="56" ht="15.75" customHeight="1"/>
    <row r="57" ht="15.75" customHeight="1">
      <c r="A57" s="89" t="s">
        <v>257</v>
      </c>
    </row>
    <row r="58">
      <c r="A58" s="92" t="s">
        <v>252</v>
      </c>
      <c r="B58" s="84"/>
      <c r="C58" s="35"/>
      <c r="D58" s="35"/>
      <c r="E58" s="35"/>
      <c r="F58" s="35"/>
      <c r="G58" s="35"/>
      <c r="H58" s="36"/>
    </row>
    <row r="59" ht="15.75" customHeight="1">
      <c r="A59" s="92" t="s">
        <v>8</v>
      </c>
      <c r="B59" s="84"/>
      <c r="C59" s="35"/>
      <c r="D59" s="35"/>
      <c r="E59" s="35"/>
      <c r="F59" s="35"/>
      <c r="G59" s="35"/>
      <c r="H59" s="36"/>
    </row>
    <row r="60" ht="15.75" customHeight="1">
      <c r="A60" s="92" t="s">
        <v>217</v>
      </c>
      <c r="B60" s="135"/>
      <c r="C60" s="35"/>
      <c r="D60" s="35"/>
      <c r="E60" s="35"/>
      <c r="F60" s="35"/>
      <c r="G60" s="35"/>
      <c r="H60" s="36"/>
    </row>
    <row r="61" ht="15.75" customHeight="1">
      <c r="A61" s="92" t="s">
        <v>178</v>
      </c>
      <c r="B61" s="135"/>
      <c r="C61" s="35"/>
      <c r="D61" s="35"/>
      <c r="E61" s="35"/>
      <c r="F61" s="35"/>
      <c r="G61" s="35"/>
      <c r="H61" s="36"/>
    </row>
    <row r="62" ht="15.75" customHeight="1">
      <c r="A62" s="123" t="s">
        <v>259</v>
      </c>
      <c r="B62" s="6"/>
      <c r="C62" s="6"/>
      <c r="D62" s="6"/>
      <c r="E62" s="6"/>
      <c r="F62" s="6"/>
      <c r="G62" s="6"/>
      <c r="H62" s="6"/>
    </row>
    <row r="63" ht="15.75" customHeight="1">
      <c r="A63" s="118" t="s">
        <v>255</v>
      </c>
      <c r="B63" s="35"/>
      <c r="C63" s="35"/>
      <c r="D63" s="35"/>
      <c r="E63" s="35"/>
      <c r="F63" s="35"/>
      <c r="G63" s="35"/>
      <c r="H63" s="36"/>
    </row>
    <row r="64" ht="15.75" customHeight="1">
      <c r="A64" s="129"/>
      <c r="B64" s="61"/>
      <c r="C64" s="61"/>
      <c r="D64" s="61"/>
      <c r="E64" s="61"/>
      <c r="F64" s="61"/>
      <c r="G64" s="61"/>
      <c r="H64" s="62"/>
    </row>
    <row r="65" ht="15.75" customHeight="1">
      <c r="A65" s="120"/>
      <c r="H65" s="121"/>
    </row>
    <row r="66" ht="15.75" customHeight="1">
      <c r="A66" s="63"/>
      <c r="B66" s="64"/>
      <c r="C66" s="64"/>
      <c r="D66" s="64"/>
      <c r="E66" s="64"/>
      <c r="F66" s="64"/>
      <c r="G66" s="64"/>
      <c r="H66" s="65"/>
    </row>
    <row r="67" ht="15.75" customHeight="1"/>
    <row r="68" ht="15.75" customHeight="1">
      <c r="A68" s="103" t="s">
        <v>261</v>
      </c>
      <c r="G68" s="98" t="s">
        <v>178</v>
      </c>
      <c r="H68" s="104">
        <f>B70</f>
        <v>10</v>
      </c>
    </row>
    <row r="69" ht="15.75" customHeight="1">
      <c r="G69" s="89" t="s">
        <v>262</v>
      </c>
    </row>
    <row r="70" ht="15.75" customHeight="1">
      <c r="A70" s="92" t="s">
        <v>178</v>
      </c>
      <c r="B70" s="116">
        <v>10.0</v>
      </c>
      <c r="C70" s="35"/>
      <c r="D70" s="35"/>
      <c r="E70" s="35"/>
      <c r="F70" s="35"/>
      <c r="G70" s="35"/>
      <c r="H70" s="36"/>
    </row>
    <row r="71" ht="15.75" customHeight="1">
      <c r="A71" s="124" t="s">
        <v>263</v>
      </c>
      <c r="B71" s="35"/>
      <c r="C71" s="35"/>
      <c r="D71" s="35"/>
      <c r="E71" s="35"/>
      <c r="F71" s="35"/>
      <c r="G71" s="35"/>
      <c r="H71" s="36"/>
    </row>
    <row r="72" ht="15.75" customHeight="1">
      <c r="A72" s="119" t="s">
        <v>325</v>
      </c>
      <c r="B72" s="61"/>
      <c r="C72" s="61"/>
      <c r="D72" s="61"/>
      <c r="E72" s="61"/>
      <c r="F72" s="61"/>
      <c r="G72" s="61"/>
      <c r="H72" s="62"/>
    </row>
    <row r="73" ht="15.75" customHeight="1">
      <c r="A73" s="63"/>
      <c r="B73" s="64"/>
      <c r="C73" s="64"/>
      <c r="D73" s="64"/>
      <c r="E73" s="64"/>
      <c r="F73" s="64"/>
      <c r="G73" s="64"/>
      <c r="H73" s="65"/>
    </row>
    <row r="74" ht="15.75" customHeight="1">
      <c r="A74" s="89" t="s">
        <v>265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216</v>
      </c>
    </row>
    <row r="3" ht="15.75" customHeight="1"/>
    <row r="4" ht="15.75" customHeight="1">
      <c r="B4" s="83" t="s">
        <v>1</v>
      </c>
      <c r="C4" s="100" t="str">
        <f>'Diseño'!C4</f>
        <v>667 - Programacion Comercial 1</v>
      </c>
      <c r="D4" s="35"/>
      <c r="E4" s="35"/>
      <c r="F4" s="35"/>
      <c r="G4" s="36"/>
    </row>
    <row r="5" ht="15.75" customHeight="1">
      <c r="B5" s="70" t="s">
        <v>79</v>
      </c>
      <c r="C5" s="84">
        <v>9.0</v>
      </c>
      <c r="D5" s="35"/>
      <c r="E5" s="35"/>
      <c r="F5" s="35"/>
      <c r="G5" s="36"/>
    </row>
    <row r="6" ht="15.75" customHeight="1">
      <c r="B6" s="101" t="s">
        <v>175</v>
      </c>
      <c r="C6" s="84">
        <f>H10+H21+H44+H68</f>
        <v>105</v>
      </c>
      <c r="D6" s="35"/>
      <c r="E6" s="35"/>
      <c r="F6" s="35"/>
      <c r="G6" s="36"/>
      <c r="I6" s="6"/>
    </row>
    <row r="7" ht="15.75" customHeight="1">
      <c r="B7" s="101" t="s">
        <v>217</v>
      </c>
      <c r="C7" s="84">
        <f>B49+B60</f>
        <v>0</v>
      </c>
      <c r="D7" s="35"/>
      <c r="E7" s="35"/>
      <c r="F7" s="35"/>
      <c r="G7" s="36"/>
    </row>
    <row r="8" ht="15.75" customHeight="1">
      <c r="B8" s="101" t="s">
        <v>218</v>
      </c>
      <c r="C8" s="102" t="str">
        <f>IF(H44&lt;=0, "❌ ERROR: La Actividad 1 debe tener un tiempo mayor a 0.", IF(H21&gt;60, "❌ ERROR: El 'Área de Conocimiento' no puede exceder los 60 min.", IF((H10+H21+H44+H68)&lt;100, "❌ ERROR: El tiempo total debe ser de al menos 100 min.", "✅ VALIDACIÓN CORRECTA")))</f>
        <v>✅ VALIDACIÓN CORRECTA</v>
      </c>
      <c r="D8" s="35"/>
      <c r="E8" s="35"/>
      <c r="F8" s="35"/>
      <c r="G8" s="36"/>
      <c r="I8" s="6"/>
      <c r="J8" s="6"/>
      <c r="K8" s="6"/>
    </row>
    <row r="9" ht="15.75" customHeight="1"/>
    <row r="10" ht="15.75" customHeight="1">
      <c r="A10" s="103" t="s">
        <v>219</v>
      </c>
      <c r="G10" s="98" t="s">
        <v>178</v>
      </c>
      <c r="H10" s="104">
        <f>B13</f>
        <v>5</v>
      </c>
    </row>
    <row r="11" ht="15.75" customHeight="1">
      <c r="G11" s="89" t="s">
        <v>220</v>
      </c>
    </row>
    <row r="12" ht="15.75" customHeight="1">
      <c r="A12" s="92" t="s">
        <v>221</v>
      </c>
      <c r="B12" s="94" t="s">
        <v>326</v>
      </c>
      <c r="C12" s="35"/>
      <c r="D12" s="35"/>
      <c r="E12" s="35"/>
      <c r="F12" s="35"/>
      <c r="G12" s="35"/>
      <c r="H12" s="36"/>
    </row>
    <row r="13" ht="15.75" customHeight="1">
      <c r="A13" s="93" t="s">
        <v>178</v>
      </c>
      <c r="B13" s="94">
        <v>5.0</v>
      </c>
      <c r="C13" s="35"/>
      <c r="D13" s="35"/>
      <c r="E13" s="35"/>
      <c r="F13" s="35"/>
      <c r="G13" s="35"/>
      <c r="H13" s="36"/>
    </row>
    <row r="14" ht="15.75" customHeight="1">
      <c r="A14" s="118" t="s">
        <v>223</v>
      </c>
      <c r="B14" s="35"/>
      <c r="C14" s="35"/>
      <c r="D14" s="35"/>
      <c r="E14" s="35"/>
      <c r="F14" s="35"/>
      <c r="G14" s="35"/>
      <c r="H14" s="36"/>
    </row>
    <row r="15" ht="15.75" customHeight="1">
      <c r="A15" s="119" t="s">
        <v>327</v>
      </c>
      <c r="B15" s="61"/>
      <c r="C15" s="61"/>
      <c r="D15" s="61"/>
      <c r="E15" s="61"/>
      <c r="F15" s="61"/>
      <c r="G15" s="61"/>
      <c r="H15" s="62"/>
    </row>
    <row r="16" ht="15.75" customHeight="1">
      <c r="A16" s="63"/>
      <c r="B16" s="64"/>
      <c r="C16" s="64"/>
      <c r="D16" s="64"/>
      <c r="E16" s="64"/>
      <c r="F16" s="64"/>
      <c r="G16" s="64"/>
      <c r="H16" s="65"/>
    </row>
    <row r="17" ht="15.75" customHeight="1">
      <c r="A17" s="118" t="s">
        <v>225</v>
      </c>
      <c r="B17" s="35"/>
      <c r="C17" s="35"/>
      <c r="D17" s="35"/>
      <c r="E17" s="35"/>
      <c r="F17" s="35"/>
      <c r="G17" s="35"/>
      <c r="H17" s="36"/>
    </row>
    <row r="18" ht="15.75" customHeight="1">
      <c r="A18" s="119" t="s">
        <v>328</v>
      </c>
      <c r="B18" s="61"/>
      <c r="C18" s="61"/>
      <c r="D18" s="61"/>
      <c r="E18" s="61"/>
      <c r="F18" s="61"/>
      <c r="G18" s="61"/>
      <c r="H18" s="62"/>
    </row>
    <row r="19" ht="15.75" customHeight="1">
      <c r="A19" s="63"/>
      <c r="B19" s="64"/>
      <c r="C19" s="64"/>
      <c r="D19" s="64"/>
      <c r="E19" s="64"/>
      <c r="F19" s="64"/>
      <c r="G19" s="64"/>
      <c r="H19" s="65"/>
    </row>
    <row r="20" ht="15.75" customHeight="1"/>
    <row r="21" ht="15.75" customHeight="1">
      <c r="A21" s="103" t="s">
        <v>227</v>
      </c>
      <c r="G21" s="98" t="s">
        <v>178</v>
      </c>
      <c r="H21" s="104">
        <f>SUM(D39:H42)</f>
        <v>50</v>
      </c>
      <c r="I21" s="6"/>
    </row>
    <row r="22" ht="15.75" customHeight="1">
      <c r="G22" s="89" t="s">
        <v>228</v>
      </c>
    </row>
    <row r="23" ht="15.75" customHeight="1">
      <c r="A23" s="92" t="s">
        <v>229</v>
      </c>
      <c r="B23" s="94" t="s">
        <v>80</v>
      </c>
      <c r="C23" s="35"/>
      <c r="D23" s="35"/>
      <c r="E23" s="35"/>
      <c r="F23" s="35"/>
      <c r="G23" s="35"/>
      <c r="H23" s="36"/>
    </row>
    <row r="24" ht="15.75" customHeight="1">
      <c r="A24" s="92" t="s">
        <v>229</v>
      </c>
      <c r="B24" s="94" t="s">
        <v>269</v>
      </c>
      <c r="C24" s="35"/>
      <c r="D24" s="35"/>
      <c r="E24" s="35"/>
      <c r="F24" s="35"/>
      <c r="G24" s="35"/>
      <c r="H24" s="36"/>
    </row>
    <row r="25" ht="15.75" customHeight="1"/>
    <row r="26" ht="15.75" customHeight="1">
      <c r="A26" s="110" t="s">
        <v>230</v>
      </c>
      <c r="B26" s="6"/>
      <c r="C26" s="6"/>
      <c r="D26" s="6"/>
    </row>
    <row r="27" ht="15.75" customHeight="1">
      <c r="A27" s="126" t="s">
        <v>73</v>
      </c>
      <c r="B27" s="127" t="s">
        <v>231</v>
      </c>
      <c r="C27" s="36"/>
      <c r="D27" s="127" t="s">
        <v>232</v>
      </c>
      <c r="E27" s="36"/>
      <c r="F27" s="127" t="s">
        <v>233</v>
      </c>
      <c r="G27" s="35"/>
      <c r="H27" s="36"/>
    </row>
    <row r="28" ht="15.75" customHeight="1">
      <c r="A28" s="70">
        <v>1.0</v>
      </c>
      <c r="B28" s="84" t="str">
        <f>IFERROR(__xludf.DUMMYFUNCTION("FILTER('Diseño'!D:D,'Diseño'!H:H=$C$5)"),"3. Powe Bi")</f>
        <v>3. Powe Bi</v>
      </c>
      <c r="C28" s="36"/>
      <c r="D28" s="84" t="str">
        <f>IFERROR(__xludf.DUMMYFUNCTION("FILTER('Diseño'!E:E,'Diseño'!H:H=$C$5)"),"Power BI")</f>
        <v>Power BI</v>
      </c>
      <c r="E28" s="36"/>
      <c r="F28" s="84" t="str">
        <f>IFERROR(__xludf.DUMMYFUNCTION("FILTER('Diseño'!F:F,'Diseño'!H:H=$C$5)"),"Elementos principales: Desktop, Service y Mobile.")</f>
        <v>Elementos principales: Desktop, Service y Mobile.</v>
      </c>
      <c r="G28" s="35"/>
      <c r="H28" s="36"/>
    </row>
    <row r="29" ht="15.75" customHeight="1">
      <c r="A29" s="70">
        <v>2.0</v>
      </c>
      <c r="B29" s="84" t="str">
        <f>IFERROR(__xludf.DUMMYFUNCTION("""COMPUTED_VALUE"""),"3. Powe Bi")</f>
        <v>3. Powe Bi</v>
      </c>
      <c r="C29" s="36"/>
      <c r="D29" s="84" t="str">
        <f>IFERROR(__xludf.DUMMYFUNCTION("""COMPUTED_VALUE"""),"Power BI")</f>
        <v>Power BI</v>
      </c>
      <c r="E29" s="36"/>
      <c r="F29" s="84" t="str">
        <f>IFERROR(__xludf.DUMMYFUNCTION("""COMPUTED_VALUE"""),"Instalación y exploración de power bi")</f>
        <v>Instalación y exploración de power bi</v>
      </c>
      <c r="G29" s="35"/>
      <c r="H29" s="36"/>
    </row>
    <row r="30" ht="15.75" customHeight="1">
      <c r="A30" s="70">
        <v>3.0</v>
      </c>
      <c r="B30" s="84" t="str">
        <f>IFERROR(__xludf.DUMMYFUNCTION("""COMPUTED_VALUE"""),"3. Powe Bi")</f>
        <v>3. Powe Bi</v>
      </c>
      <c r="C30" s="36"/>
      <c r="D30" s="84" t="str">
        <f>IFERROR(__xludf.DUMMYFUNCTION("""COMPUTED_VALUE"""),"Power BI")</f>
        <v>Power BI</v>
      </c>
      <c r="E30" s="36"/>
      <c r="F30" s="84" t="str">
        <f>IFERROR(__xludf.DUMMYFUNCTION("""COMPUTED_VALUE"""),"Primeros pasos: configuración inicial")</f>
        <v>Primeros pasos: configuración inicial</v>
      </c>
      <c r="G30" s="35"/>
      <c r="H30" s="36"/>
    </row>
    <row r="31" ht="15.75" customHeight="1">
      <c r="A31" s="70">
        <v>4.0</v>
      </c>
      <c r="B31" s="84" t="str">
        <f>IFERROR(__xludf.DUMMYFUNCTION("""COMPUTED_VALUE"""),"3. Powe Bi")</f>
        <v>3. Powe Bi</v>
      </c>
      <c r="C31" s="36"/>
      <c r="D31" s="84" t="str">
        <f>IFERROR(__xludf.DUMMYFUNCTION("""COMPUTED_VALUE"""),"Power BI")</f>
        <v>Power BI</v>
      </c>
      <c r="E31" s="36"/>
      <c r="F31" s="84" t="str">
        <f>IFERROR(__xludf.DUMMYFUNCTION("""COMPUTED_VALUE"""),"Conociendo la interfaz")</f>
        <v>Conociendo la interfaz</v>
      </c>
      <c r="G31" s="35"/>
      <c r="H31" s="36"/>
    </row>
    <row r="32" ht="15.75" customHeight="1">
      <c r="A32" s="70">
        <v>5.0</v>
      </c>
      <c r="B32" s="84" t="str">
        <f>IFERROR(__xludf.DUMMYFUNCTION("""COMPUTED_VALUE"""),"3. Powe Bi")</f>
        <v>3. Powe Bi</v>
      </c>
      <c r="C32" s="36"/>
      <c r="D32" s="84" t="str">
        <f>IFERROR(__xludf.DUMMYFUNCTION("""COMPUTED_VALUE"""),"Power BI")</f>
        <v>Power BI</v>
      </c>
      <c r="E32" s="36"/>
      <c r="F32" s="84" t="str">
        <f>IFERROR(__xludf.DUMMYFUNCTION("""COMPUTED_VALUE"""),"Áreas de trabajo: Informe, Datos y Modelo")</f>
        <v>Áreas de trabajo: Informe, Datos y Modelo</v>
      </c>
      <c r="G32" s="35"/>
      <c r="H32" s="36"/>
    </row>
    <row r="33" ht="15.75" customHeight="1">
      <c r="A33" s="70">
        <v>6.0</v>
      </c>
      <c r="B33" s="84" t="str">
        <f>IFERROR(__xludf.DUMMYFUNCTION("""COMPUTED_VALUE"""),"3. Powe Bi")</f>
        <v>3. Powe Bi</v>
      </c>
      <c r="C33" s="36"/>
      <c r="D33" s="84" t="str">
        <f>IFERROR(__xludf.DUMMYFUNCTION("""COMPUTED_VALUE"""),"Power BI")</f>
        <v>Power BI</v>
      </c>
      <c r="E33" s="36"/>
      <c r="F33" s="84" t="str">
        <f>IFERROR(__xludf.DUMMYFUNCTION("""COMPUTED_VALUE"""),"Herramientas y páneles principales")</f>
        <v>Herramientas y páneles principales</v>
      </c>
      <c r="G33" s="35"/>
      <c r="H33" s="36"/>
    </row>
    <row r="34" ht="15.75" customHeight="1">
      <c r="A34" s="70">
        <v>7.0</v>
      </c>
      <c r="B34" s="84" t="str">
        <f>IFERROR(__xludf.DUMMYFUNCTION("""COMPUTED_VALUE"""),"3. Powe Bi")</f>
        <v>3. Powe Bi</v>
      </c>
      <c r="C34" s="36"/>
      <c r="D34" s="84" t="str">
        <f>IFERROR(__xludf.DUMMYFUNCTION("""COMPUTED_VALUE"""),"Power BI")</f>
        <v>Power BI</v>
      </c>
      <c r="E34" s="36"/>
      <c r="F34" s="84" t="str">
        <f>IFERROR(__xludf.DUMMYFUNCTION("""COMPUTED_VALUE"""),"Carga de datos de ejemplo en Power BI")</f>
        <v>Carga de datos de ejemplo en Power BI</v>
      </c>
      <c r="G34" s="35"/>
      <c r="H34" s="36"/>
    </row>
    <row r="35" ht="15.75" customHeight="1"/>
    <row r="36" ht="15.75" customHeight="1">
      <c r="A36" s="110" t="s">
        <v>237</v>
      </c>
    </row>
    <row r="37" ht="15.75" customHeight="1">
      <c r="A37" s="6"/>
      <c r="B37" s="6"/>
      <c r="C37" s="6"/>
      <c r="D37" s="6"/>
      <c r="E37" s="6"/>
      <c r="F37" s="6"/>
      <c r="G37" s="6"/>
      <c r="H37" s="6"/>
    </row>
    <row r="38">
      <c r="A38" s="126" t="s">
        <v>238</v>
      </c>
      <c r="B38" s="126" t="s">
        <v>33</v>
      </c>
      <c r="C38" s="128" t="s">
        <v>270</v>
      </c>
      <c r="D38" s="124" t="s">
        <v>271</v>
      </c>
      <c r="E38" s="35"/>
      <c r="F38" s="35"/>
      <c r="G38" s="35"/>
      <c r="H38" s="36"/>
      <c r="I38" s="115" t="s">
        <v>18</v>
      </c>
    </row>
    <row r="39" ht="15.75" customHeight="1">
      <c r="A39" s="70" t="s">
        <v>240</v>
      </c>
      <c r="B39" s="70" t="s">
        <v>241</v>
      </c>
      <c r="C39" s="70">
        <v>30.0</v>
      </c>
      <c r="D39" s="94">
        <v>20.0</v>
      </c>
      <c r="E39" s="35"/>
      <c r="F39" s="35"/>
      <c r="G39" s="35"/>
      <c r="H39" s="36"/>
      <c r="I39" s="70" t="str">
        <f t="shared" ref="I39:I42" si="1">IF(D39&lt;=C39,"Correcto", "Corregir")</f>
        <v>Correcto</v>
      </c>
    </row>
    <row r="40" ht="15.75" customHeight="1">
      <c r="A40" s="70" t="s">
        <v>243</v>
      </c>
      <c r="B40" s="70" t="s">
        <v>241</v>
      </c>
      <c r="C40" s="70">
        <v>6.0</v>
      </c>
      <c r="D40" s="94">
        <v>5.0</v>
      </c>
      <c r="E40" s="35"/>
      <c r="F40" s="35"/>
      <c r="G40" s="35"/>
      <c r="H40" s="36"/>
      <c r="I40" s="70" t="str">
        <f t="shared" si="1"/>
        <v>Correcto</v>
      </c>
    </row>
    <row r="41" ht="15.75" customHeight="1">
      <c r="A41" s="70" t="s">
        <v>244</v>
      </c>
      <c r="B41" s="70" t="s">
        <v>245</v>
      </c>
      <c r="C41" s="70">
        <v>10.0</v>
      </c>
      <c r="D41" s="94">
        <v>0.0</v>
      </c>
      <c r="E41" s="35"/>
      <c r="F41" s="35"/>
      <c r="G41" s="35"/>
      <c r="H41" s="36"/>
      <c r="I41" s="70" t="str">
        <f t="shared" si="1"/>
        <v>Correcto</v>
      </c>
    </row>
    <row r="42" ht="15.75" customHeight="1">
      <c r="A42" s="70" t="s">
        <v>247</v>
      </c>
      <c r="B42" s="70" t="s">
        <v>241</v>
      </c>
      <c r="C42" s="70">
        <v>30.0</v>
      </c>
      <c r="D42" s="94">
        <v>25.0</v>
      </c>
      <c r="E42" s="35"/>
      <c r="F42" s="35"/>
      <c r="G42" s="35"/>
      <c r="H42" s="36"/>
      <c r="I42" s="70" t="str">
        <f t="shared" si="1"/>
        <v>Correcto</v>
      </c>
    </row>
    <row r="43" ht="15.75" customHeight="1"/>
    <row r="44" ht="15.75" customHeight="1">
      <c r="A44" s="103" t="s">
        <v>249</v>
      </c>
      <c r="G44" s="98" t="s">
        <v>178</v>
      </c>
      <c r="H44" s="104">
        <f>B50</f>
        <v>40</v>
      </c>
    </row>
    <row r="45" ht="15.75" customHeight="1">
      <c r="G45" s="89" t="s">
        <v>250</v>
      </c>
    </row>
    <row r="46" ht="15.75" customHeight="1">
      <c r="A46" s="89" t="s">
        <v>251</v>
      </c>
    </row>
    <row r="47">
      <c r="A47" s="92" t="s">
        <v>252</v>
      </c>
      <c r="B47" s="94" t="s">
        <v>269</v>
      </c>
      <c r="C47" s="35"/>
      <c r="D47" s="35"/>
      <c r="E47" s="35"/>
      <c r="F47" s="35"/>
      <c r="G47" s="35"/>
      <c r="H47" s="36"/>
    </row>
    <row r="48" ht="15.75" customHeight="1">
      <c r="A48" s="92" t="s">
        <v>8</v>
      </c>
      <c r="B48" s="84" t="s">
        <v>294</v>
      </c>
      <c r="C48" s="35"/>
      <c r="D48" s="35"/>
      <c r="E48" s="35"/>
      <c r="F48" s="35"/>
      <c r="G48" s="35"/>
      <c r="H48" s="36"/>
    </row>
    <row r="49" ht="15.75" customHeight="1">
      <c r="A49" s="92" t="s">
        <v>217</v>
      </c>
      <c r="B49" s="135">
        <v>0.0</v>
      </c>
      <c r="C49" s="35"/>
      <c r="D49" s="35"/>
      <c r="E49" s="35"/>
      <c r="F49" s="35"/>
      <c r="G49" s="35"/>
      <c r="H49" s="36"/>
    </row>
    <row r="50" ht="15.75" customHeight="1">
      <c r="A50" s="92" t="s">
        <v>178</v>
      </c>
      <c r="B50" s="94">
        <v>40.0</v>
      </c>
      <c r="C50" s="35"/>
      <c r="D50" s="35"/>
      <c r="E50" s="35"/>
      <c r="F50" s="35"/>
      <c r="G50" s="35"/>
      <c r="H50" s="36"/>
    </row>
    <row r="51" ht="15.75" customHeight="1">
      <c r="A51" s="117" t="s">
        <v>254</v>
      </c>
      <c r="B51" s="6"/>
      <c r="C51" s="6"/>
      <c r="D51" s="6"/>
      <c r="E51" s="6"/>
      <c r="F51" s="6"/>
      <c r="G51" s="6"/>
      <c r="H51" s="6"/>
    </row>
    <row r="52" ht="15.75" customHeight="1">
      <c r="A52" s="118" t="s">
        <v>255</v>
      </c>
      <c r="B52" s="35"/>
      <c r="C52" s="35"/>
      <c r="D52" s="35"/>
      <c r="E52" s="35"/>
      <c r="F52" s="35"/>
      <c r="G52" s="35"/>
      <c r="H52" s="36"/>
    </row>
    <row r="53" ht="15.75" customHeight="1">
      <c r="A53" s="129"/>
      <c r="B53" s="61"/>
      <c r="C53" s="61"/>
      <c r="D53" s="61"/>
      <c r="E53" s="61"/>
      <c r="F53" s="61"/>
      <c r="G53" s="61"/>
      <c r="H53" s="62"/>
    </row>
    <row r="54" ht="15.75" customHeight="1">
      <c r="A54" s="120"/>
      <c r="H54" s="121"/>
    </row>
    <row r="55" ht="15.75" customHeight="1">
      <c r="A55" s="63"/>
      <c r="B55" s="64"/>
      <c r="C55" s="64"/>
      <c r="D55" s="64"/>
      <c r="E55" s="64"/>
      <c r="F55" s="64"/>
      <c r="G55" s="64"/>
      <c r="H55" s="65"/>
    </row>
    <row r="56" ht="15.75" customHeight="1"/>
    <row r="57" ht="15.75" customHeight="1">
      <c r="A57" s="89" t="s">
        <v>257</v>
      </c>
    </row>
    <row r="58">
      <c r="A58" s="92" t="s">
        <v>252</v>
      </c>
      <c r="B58" s="84"/>
      <c r="C58" s="35"/>
      <c r="D58" s="35"/>
      <c r="E58" s="35"/>
      <c r="F58" s="35"/>
      <c r="G58" s="35"/>
      <c r="H58" s="36"/>
    </row>
    <row r="59" ht="15.75" customHeight="1">
      <c r="A59" s="92" t="s">
        <v>8</v>
      </c>
      <c r="B59" s="84"/>
      <c r="C59" s="35"/>
      <c r="D59" s="35"/>
      <c r="E59" s="35"/>
      <c r="F59" s="35"/>
      <c r="G59" s="35"/>
      <c r="H59" s="36"/>
    </row>
    <row r="60" ht="15.75" customHeight="1">
      <c r="A60" s="92" t="s">
        <v>217</v>
      </c>
      <c r="B60" s="135"/>
      <c r="C60" s="35"/>
      <c r="D60" s="35"/>
      <c r="E60" s="35"/>
      <c r="F60" s="35"/>
      <c r="G60" s="35"/>
      <c r="H60" s="36"/>
    </row>
    <row r="61" ht="15.75" customHeight="1">
      <c r="A61" s="92" t="s">
        <v>178</v>
      </c>
      <c r="B61" s="135"/>
      <c r="C61" s="35"/>
      <c r="D61" s="35"/>
      <c r="E61" s="35"/>
      <c r="F61" s="35"/>
      <c r="G61" s="35"/>
      <c r="H61" s="36"/>
    </row>
    <row r="62" ht="15.75" customHeight="1">
      <c r="A62" s="123" t="s">
        <v>259</v>
      </c>
      <c r="B62" s="6"/>
      <c r="C62" s="6"/>
      <c r="D62" s="6"/>
      <c r="E62" s="6"/>
      <c r="F62" s="6"/>
      <c r="G62" s="6"/>
      <c r="H62" s="6"/>
    </row>
    <row r="63" ht="15.75" customHeight="1">
      <c r="A63" s="118" t="s">
        <v>255</v>
      </c>
      <c r="B63" s="35"/>
      <c r="C63" s="35"/>
      <c r="D63" s="35"/>
      <c r="E63" s="35"/>
      <c r="F63" s="35"/>
      <c r="G63" s="35"/>
      <c r="H63" s="36"/>
    </row>
    <row r="64" ht="15.75" customHeight="1">
      <c r="A64" s="129"/>
      <c r="B64" s="61"/>
      <c r="C64" s="61"/>
      <c r="D64" s="61"/>
      <c r="E64" s="61"/>
      <c r="F64" s="61"/>
      <c r="G64" s="61"/>
      <c r="H64" s="62"/>
    </row>
    <row r="65" ht="15.75" customHeight="1">
      <c r="A65" s="120"/>
      <c r="H65" s="121"/>
    </row>
    <row r="66" ht="15.75" customHeight="1">
      <c r="A66" s="63"/>
      <c r="B66" s="64"/>
      <c r="C66" s="64"/>
      <c r="D66" s="64"/>
      <c r="E66" s="64"/>
      <c r="F66" s="64"/>
      <c r="G66" s="64"/>
      <c r="H66" s="65"/>
    </row>
    <row r="67" ht="15.75" customHeight="1"/>
    <row r="68" ht="15.75" customHeight="1">
      <c r="A68" s="103" t="s">
        <v>261</v>
      </c>
      <c r="G68" s="98" t="s">
        <v>178</v>
      </c>
      <c r="H68" s="104">
        <f>B70</f>
        <v>10</v>
      </c>
    </row>
    <row r="69" ht="15.75" customHeight="1">
      <c r="G69" s="89" t="s">
        <v>262</v>
      </c>
    </row>
    <row r="70" ht="15.75" customHeight="1">
      <c r="A70" s="92" t="s">
        <v>178</v>
      </c>
      <c r="B70" s="116">
        <v>10.0</v>
      </c>
      <c r="C70" s="35"/>
      <c r="D70" s="35"/>
      <c r="E70" s="35"/>
      <c r="F70" s="35"/>
      <c r="G70" s="35"/>
      <c r="H70" s="36"/>
    </row>
    <row r="71" ht="15.75" customHeight="1">
      <c r="A71" s="124" t="s">
        <v>263</v>
      </c>
      <c r="B71" s="35"/>
      <c r="C71" s="35"/>
      <c r="D71" s="35"/>
      <c r="E71" s="35"/>
      <c r="F71" s="35"/>
      <c r="G71" s="35"/>
      <c r="H71" s="36"/>
    </row>
    <row r="72" ht="15.75" customHeight="1">
      <c r="A72" s="119" t="s">
        <v>301</v>
      </c>
      <c r="B72" s="61"/>
      <c r="C72" s="61"/>
      <c r="D72" s="61"/>
      <c r="E72" s="61"/>
      <c r="F72" s="61"/>
      <c r="G72" s="61"/>
      <c r="H72" s="62"/>
    </row>
    <row r="73" ht="15.75" customHeight="1">
      <c r="A73" s="63"/>
      <c r="B73" s="64"/>
      <c r="C73" s="64"/>
      <c r="D73" s="64"/>
      <c r="E73" s="64"/>
      <c r="F73" s="64"/>
      <c r="G73" s="64"/>
      <c r="H73" s="65"/>
    </row>
    <row r="74" ht="15.75" customHeight="1">
      <c r="A74" s="89" t="s">
        <v>265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216</v>
      </c>
    </row>
    <row r="3" ht="15.75" customHeight="1"/>
    <row r="4" ht="15.75" customHeight="1">
      <c r="B4" s="83" t="s">
        <v>1</v>
      </c>
      <c r="C4" s="100" t="str">
        <f>'Diseño'!C4</f>
        <v>667 - Programacion Comercial 1</v>
      </c>
      <c r="D4" s="35"/>
      <c r="E4" s="35"/>
      <c r="F4" s="35"/>
      <c r="G4" s="36"/>
    </row>
    <row r="5" ht="15.75" customHeight="1">
      <c r="B5" s="70" t="s">
        <v>79</v>
      </c>
      <c r="C5" s="84">
        <v>10.0</v>
      </c>
      <c r="D5" s="35"/>
      <c r="E5" s="35"/>
      <c r="F5" s="35"/>
      <c r="G5" s="36"/>
    </row>
    <row r="6" ht="15.75" customHeight="1">
      <c r="B6" s="101" t="s">
        <v>175</v>
      </c>
      <c r="C6" s="84">
        <f>H10+H21+H44+H68</f>
        <v>100</v>
      </c>
      <c r="D6" s="35"/>
      <c r="E6" s="35"/>
      <c r="F6" s="35"/>
      <c r="G6" s="36"/>
      <c r="I6" s="6"/>
    </row>
    <row r="7" ht="15.75" customHeight="1">
      <c r="B7" s="101" t="s">
        <v>217</v>
      </c>
      <c r="C7" s="84">
        <f>B49+B60</f>
        <v>0</v>
      </c>
      <c r="D7" s="35"/>
      <c r="E7" s="35"/>
      <c r="F7" s="35"/>
      <c r="G7" s="36"/>
    </row>
    <row r="8" ht="15.75" customHeight="1">
      <c r="B8" s="101" t="s">
        <v>218</v>
      </c>
      <c r="C8" s="102" t="str">
        <f>IF(H44&lt;=0, "❌ ERROR: La Actividad 1 debe tener un tiempo mayor a 0.", IF(H21&gt;60, "❌ ERROR: El 'Área de Conocimiento' no puede exceder los 60 min.", IF((H10+H21+H44+H68)&lt;100, "❌ ERROR: El tiempo total debe ser de al menos 100 min.", "✅ VALIDACIÓN CORRECTA")))</f>
        <v>✅ VALIDACIÓN CORRECTA</v>
      </c>
      <c r="D8" s="35"/>
      <c r="E8" s="35"/>
      <c r="F8" s="35"/>
      <c r="G8" s="36"/>
      <c r="I8" s="6"/>
      <c r="J8" s="6"/>
      <c r="K8" s="6"/>
    </row>
    <row r="9" ht="15.75" customHeight="1"/>
    <row r="10" ht="15.75" customHeight="1">
      <c r="A10" s="103" t="s">
        <v>219</v>
      </c>
      <c r="G10" s="98" t="s">
        <v>178</v>
      </c>
      <c r="H10" s="104">
        <f>B13</f>
        <v>4</v>
      </c>
    </row>
    <row r="11" ht="15.75" customHeight="1">
      <c r="G11" s="89" t="s">
        <v>220</v>
      </c>
    </row>
    <row r="12" ht="15.75" customHeight="1">
      <c r="A12" s="90" t="s">
        <v>221</v>
      </c>
      <c r="B12" s="91" t="s">
        <v>329</v>
      </c>
      <c r="C12" s="35"/>
      <c r="D12" s="35"/>
      <c r="E12" s="35"/>
      <c r="F12" s="35"/>
      <c r="G12" s="35"/>
      <c r="H12" s="36"/>
    </row>
    <row r="13" ht="15.75" customHeight="1">
      <c r="A13" s="105" t="s">
        <v>178</v>
      </c>
      <c r="B13" s="97">
        <v>4.0</v>
      </c>
      <c r="C13" s="35"/>
      <c r="D13" s="35"/>
      <c r="E13" s="35"/>
      <c r="F13" s="35"/>
      <c r="G13" s="35"/>
      <c r="H13" s="36"/>
    </row>
    <row r="14" ht="15.75" customHeight="1">
      <c r="A14" s="107" t="s">
        <v>223</v>
      </c>
      <c r="B14" s="35"/>
      <c r="C14" s="35"/>
      <c r="D14" s="35"/>
      <c r="E14" s="35"/>
      <c r="F14" s="35"/>
      <c r="G14" s="35"/>
      <c r="H14" s="36"/>
    </row>
    <row r="15" ht="15.75" customHeight="1">
      <c r="A15" s="125" t="s">
        <v>330</v>
      </c>
      <c r="B15" s="61"/>
      <c r="C15" s="61"/>
      <c r="D15" s="61"/>
      <c r="E15" s="61"/>
      <c r="F15" s="61"/>
      <c r="G15" s="61"/>
      <c r="H15" s="62"/>
    </row>
    <row r="16" ht="15.75" customHeight="1">
      <c r="A16" s="63"/>
      <c r="B16" s="64"/>
      <c r="C16" s="64"/>
      <c r="D16" s="64"/>
      <c r="E16" s="64"/>
      <c r="F16" s="64"/>
      <c r="G16" s="64"/>
      <c r="H16" s="65"/>
    </row>
    <row r="17" ht="15.75" customHeight="1">
      <c r="A17" s="107" t="s">
        <v>225</v>
      </c>
      <c r="B17" s="35"/>
      <c r="C17" s="35"/>
      <c r="D17" s="35"/>
      <c r="E17" s="35"/>
      <c r="F17" s="35"/>
      <c r="G17" s="35"/>
      <c r="H17" s="36"/>
    </row>
    <row r="18" ht="54.75" customHeight="1">
      <c r="A18" s="125" t="s">
        <v>331</v>
      </c>
      <c r="B18" s="61"/>
      <c r="C18" s="61"/>
      <c r="D18" s="61"/>
      <c r="E18" s="61"/>
      <c r="F18" s="61"/>
      <c r="G18" s="61"/>
      <c r="H18" s="62"/>
    </row>
    <row r="19" ht="15.75" customHeight="1">
      <c r="A19" s="63"/>
      <c r="B19" s="64"/>
      <c r="C19" s="64"/>
      <c r="D19" s="64"/>
      <c r="E19" s="64"/>
      <c r="F19" s="64"/>
      <c r="G19" s="64"/>
      <c r="H19" s="65"/>
    </row>
    <row r="20" ht="15.75" customHeight="1"/>
    <row r="21" ht="15.75" customHeight="1">
      <c r="A21" s="103" t="s">
        <v>227</v>
      </c>
      <c r="G21" s="98" t="s">
        <v>178</v>
      </c>
      <c r="H21" s="104">
        <f>SUM(D39:H42)</f>
        <v>56</v>
      </c>
      <c r="I21" s="6"/>
    </row>
    <row r="22" ht="15.75" customHeight="1">
      <c r="G22" s="89" t="s">
        <v>228</v>
      </c>
    </row>
    <row r="23" ht="15.75" customHeight="1">
      <c r="A23" s="92" t="s">
        <v>229</v>
      </c>
      <c r="B23" s="94" t="s">
        <v>142</v>
      </c>
      <c r="C23" s="35"/>
      <c r="D23" s="35"/>
      <c r="E23" s="35"/>
      <c r="F23" s="35"/>
      <c r="G23" s="35"/>
      <c r="H23" s="36"/>
    </row>
    <row r="24" ht="15.75" customHeight="1">
      <c r="A24" s="92" t="s">
        <v>229</v>
      </c>
      <c r="B24" s="94" t="s">
        <v>152</v>
      </c>
      <c r="C24" s="35"/>
      <c r="D24" s="35"/>
      <c r="E24" s="35"/>
      <c r="F24" s="35"/>
      <c r="G24" s="35"/>
      <c r="H24" s="36"/>
    </row>
    <row r="25" ht="15.75" customHeight="1"/>
    <row r="26" ht="15.75" customHeight="1">
      <c r="A26" s="110" t="s">
        <v>230</v>
      </c>
      <c r="B26" s="6"/>
      <c r="C26" s="6"/>
      <c r="D26" s="6"/>
    </row>
    <row r="27" ht="15.75" customHeight="1">
      <c r="A27" s="126" t="s">
        <v>73</v>
      </c>
      <c r="B27" s="127" t="s">
        <v>231</v>
      </c>
      <c r="C27" s="36"/>
      <c r="D27" s="127" t="s">
        <v>232</v>
      </c>
      <c r="E27" s="36"/>
      <c r="F27" s="127" t="s">
        <v>233</v>
      </c>
      <c r="G27" s="35"/>
      <c r="H27" s="36"/>
    </row>
    <row r="28" ht="15.75" customHeight="1">
      <c r="A28" s="70">
        <v>1.0</v>
      </c>
      <c r="B28" s="84" t="str">
        <f>IFERROR(__xludf.DUMMYFUNCTION("FILTER('Diseño'!D:D,'Diseño'!H:H=$C$5)"),"3. Powe Bi")</f>
        <v>3. Powe Bi</v>
      </c>
      <c r="C28" s="36"/>
      <c r="D28" s="84" t="str">
        <f>IFERROR(__xludf.DUMMYFUNCTION("FILTER('Diseño'!E:E,'Diseño'!H:H=$C$5)"),"Power BI")</f>
        <v>Power BI</v>
      </c>
      <c r="E28" s="36"/>
      <c r="F28" s="84" t="str">
        <f>IFERROR(__xludf.DUMMYFUNCTION("FILTER('Diseño'!F:F,'Diseño'!H:H=$C$5)"),"Creación de gráficos y reportes")</f>
        <v>Creación de gráficos y reportes</v>
      </c>
      <c r="G28" s="35"/>
      <c r="H28" s="36"/>
    </row>
    <row r="29" ht="15.75" customHeight="1">
      <c r="A29" s="70">
        <v>2.0</v>
      </c>
      <c r="B29" s="84" t="str">
        <f>IFERROR(__xludf.DUMMYFUNCTION("""COMPUTED_VALUE"""),"3. Powe Bi")</f>
        <v>3. Powe Bi</v>
      </c>
      <c r="C29" s="36"/>
      <c r="D29" s="84" t="str">
        <f>IFERROR(__xludf.DUMMYFUNCTION("""COMPUTED_VALUE"""),"Power BI")</f>
        <v>Power BI</v>
      </c>
      <c r="E29" s="36"/>
      <c r="F29" s="84" t="str">
        <f>IFERROR(__xludf.DUMMYFUNCTION("""COMPUTED_VALUE"""),"Elaboración de gráficos básicos")</f>
        <v>Elaboración de gráficos básicos</v>
      </c>
      <c r="G29" s="35"/>
      <c r="H29" s="36"/>
    </row>
    <row r="30" ht="15.75" customHeight="1">
      <c r="A30" s="70">
        <v>3.0</v>
      </c>
      <c r="B30" s="84" t="str">
        <f>IFERROR(__xludf.DUMMYFUNCTION("""COMPUTED_VALUE"""),"3. Powe Bi")</f>
        <v>3. Powe Bi</v>
      </c>
      <c r="C30" s="36"/>
      <c r="D30" s="84" t="str">
        <f>IFERROR(__xludf.DUMMYFUNCTION("""COMPUTED_VALUE"""),"Power BI")</f>
        <v>Power BI</v>
      </c>
      <c r="E30" s="36"/>
      <c r="F30" s="84" t="str">
        <f>IFERROR(__xludf.DUMMYFUNCTION("""COMPUTED_VALUE"""),"Barras, líneas, áreas y circulares.")</f>
        <v>Barras, líneas, áreas y circulares.</v>
      </c>
      <c r="G30" s="35"/>
      <c r="H30" s="36"/>
    </row>
    <row r="31" ht="15.75" customHeight="1">
      <c r="A31" s="70">
        <v>4.0</v>
      </c>
      <c r="B31" s="84" t="str">
        <f>IFERROR(__xludf.DUMMYFUNCTION("""COMPUTED_VALUE"""),"3. Powe Bi")</f>
        <v>3. Powe Bi</v>
      </c>
      <c r="C31" s="36"/>
      <c r="D31" s="84" t="str">
        <f>IFERROR(__xludf.DUMMYFUNCTION("""COMPUTED_VALUE"""),"Power BI")</f>
        <v>Power BI</v>
      </c>
      <c r="E31" s="36"/>
      <c r="F31" s="84" t="str">
        <f>IFERROR(__xludf.DUMMYFUNCTION("""COMPUTED_VALUE"""),"Personalización: colores, etiquetas y leyendas.")</f>
        <v>Personalización: colores, etiquetas y leyendas.</v>
      </c>
      <c r="G31" s="35"/>
      <c r="H31" s="36"/>
    </row>
    <row r="32" ht="15.75" customHeight="1">
      <c r="A32" s="70">
        <v>5.0</v>
      </c>
      <c r="B32" s="84" t="str">
        <f>IFERROR(__xludf.DUMMYFUNCTION("""COMPUTED_VALUE"""),"3. Powe Bi")</f>
        <v>3. Powe Bi</v>
      </c>
      <c r="C32" s="36"/>
      <c r="D32" s="84" t="str">
        <f>IFERROR(__xludf.DUMMYFUNCTION("""COMPUTED_VALUE"""),"Power BI")</f>
        <v>Power BI</v>
      </c>
      <c r="E32" s="36"/>
      <c r="F32" s="84" t="str">
        <f>IFERROR(__xludf.DUMMYFUNCTION("""COMPUTED_VALUE"""),"Gráficos avanzados")</f>
        <v>Gráficos avanzados</v>
      </c>
      <c r="G32" s="35"/>
      <c r="H32" s="36"/>
    </row>
    <row r="33" ht="15.75" customHeight="1">
      <c r="A33" s="70">
        <v>6.0</v>
      </c>
      <c r="B33" s="84" t="str">
        <f>IFERROR(__xludf.DUMMYFUNCTION("""COMPUTED_VALUE"""),"3. Powe Bi")</f>
        <v>3. Powe Bi</v>
      </c>
      <c r="C33" s="36"/>
      <c r="D33" s="84" t="str">
        <f>IFERROR(__xludf.DUMMYFUNCTION("""COMPUTED_VALUE"""),"Power BI")</f>
        <v>Power BI</v>
      </c>
      <c r="E33" s="36"/>
      <c r="F33" s="84" t="str">
        <f>IFERROR(__xludf.DUMMYFUNCTION("""COMPUTED_VALUE"""),"Slicers, tarjetas de KPIs y combinaciones de gráficos.")</f>
        <v>Slicers, tarjetas de KPIs y combinaciones de gráficos.</v>
      </c>
      <c r="G33" s="35"/>
      <c r="H33" s="36"/>
    </row>
    <row r="34" ht="15.75" customHeight="1">
      <c r="A34" s="70">
        <v>7.0</v>
      </c>
      <c r="B34" s="84" t="str">
        <f>IFERROR(__xludf.DUMMYFUNCTION("""COMPUTED_VALUE"""),"3. Powe Bi")</f>
        <v>3. Powe Bi</v>
      </c>
      <c r="C34" s="36"/>
      <c r="D34" s="84" t="str">
        <f>IFERROR(__xludf.DUMMYFUNCTION("""COMPUTED_VALUE"""),"Power BI")</f>
        <v>Power BI</v>
      </c>
      <c r="E34" s="36"/>
      <c r="F34" s="84" t="str">
        <f>IFERROR(__xludf.DUMMYFUNCTION("""COMPUTED_VALUE"""),"Uso de visualizaciones del marketplace.")</f>
        <v>Uso de visualizaciones del marketplace.</v>
      </c>
      <c r="G34" s="35"/>
      <c r="H34" s="36"/>
    </row>
    <row r="35" ht="15.75" customHeight="1"/>
    <row r="36" ht="15.75" customHeight="1">
      <c r="A36" s="110" t="s">
        <v>237</v>
      </c>
    </row>
    <row r="37" ht="15.75" customHeight="1">
      <c r="A37" s="6"/>
      <c r="B37" s="6"/>
      <c r="C37" s="6"/>
      <c r="D37" s="6"/>
      <c r="E37" s="6"/>
      <c r="F37" s="6"/>
      <c r="G37" s="6"/>
      <c r="H37" s="6"/>
    </row>
    <row r="38">
      <c r="A38" s="126" t="s">
        <v>238</v>
      </c>
      <c r="B38" s="126" t="s">
        <v>33</v>
      </c>
      <c r="C38" s="128" t="s">
        <v>270</v>
      </c>
      <c r="D38" s="124" t="s">
        <v>271</v>
      </c>
      <c r="E38" s="35"/>
      <c r="F38" s="35"/>
      <c r="G38" s="35"/>
      <c r="H38" s="36"/>
      <c r="I38" s="115" t="s">
        <v>18</v>
      </c>
    </row>
    <row r="39" ht="15.75" customHeight="1">
      <c r="A39" s="70" t="s">
        <v>240</v>
      </c>
      <c r="B39" s="70" t="s">
        <v>241</v>
      </c>
      <c r="C39" s="70">
        <v>30.0</v>
      </c>
      <c r="D39" s="94">
        <v>30.0</v>
      </c>
      <c r="E39" s="35"/>
      <c r="F39" s="35"/>
      <c r="G39" s="35"/>
      <c r="H39" s="36"/>
      <c r="I39" s="70" t="str">
        <f t="shared" ref="I39:I42" si="1">IF(D39&lt;=C39,"Correcto", "Corregir")</f>
        <v>Correcto</v>
      </c>
    </row>
    <row r="40" ht="15.75" customHeight="1">
      <c r="A40" s="70" t="s">
        <v>243</v>
      </c>
      <c r="B40" s="70" t="s">
        <v>241</v>
      </c>
      <c r="C40" s="70">
        <v>6.0</v>
      </c>
      <c r="D40" s="94">
        <v>6.0</v>
      </c>
      <c r="E40" s="35"/>
      <c r="F40" s="35"/>
      <c r="G40" s="35"/>
      <c r="H40" s="36"/>
      <c r="I40" s="70" t="str">
        <f t="shared" si="1"/>
        <v>Correcto</v>
      </c>
    </row>
    <row r="41" ht="15.75" customHeight="1">
      <c r="A41" s="70" t="s">
        <v>244</v>
      </c>
      <c r="B41" s="70" t="s">
        <v>245</v>
      </c>
      <c r="C41" s="70">
        <v>10.0</v>
      </c>
      <c r="D41" s="94">
        <v>0.0</v>
      </c>
      <c r="E41" s="35"/>
      <c r="F41" s="35"/>
      <c r="G41" s="35"/>
      <c r="H41" s="36"/>
      <c r="I41" s="70" t="str">
        <f t="shared" si="1"/>
        <v>Correcto</v>
      </c>
    </row>
    <row r="42" ht="15.75" customHeight="1">
      <c r="A42" s="70" t="s">
        <v>247</v>
      </c>
      <c r="B42" s="70" t="s">
        <v>241</v>
      </c>
      <c r="C42" s="70">
        <v>30.0</v>
      </c>
      <c r="D42" s="94">
        <v>20.0</v>
      </c>
      <c r="E42" s="35"/>
      <c r="F42" s="35"/>
      <c r="G42" s="35"/>
      <c r="H42" s="36"/>
      <c r="I42" s="70" t="str">
        <f t="shared" si="1"/>
        <v>Correcto</v>
      </c>
    </row>
    <row r="43" ht="15.75" customHeight="1"/>
    <row r="44" ht="15.75" customHeight="1">
      <c r="A44" s="103" t="s">
        <v>249</v>
      </c>
      <c r="G44" s="98" t="s">
        <v>178</v>
      </c>
      <c r="H44" s="104">
        <f>B50</f>
        <v>30</v>
      </c>
    </row>
    <row r="45" ht="15.75" customHeight="1">
      <c r="G45" s="89" t="s">
        <v>250</v>
      </c>
    </row>
    <row r="46" ht="15.75" customHeight="1">
      <c r="A46" s="89" t="s">
        <v>251</v>
      </c>
    </row>
    <row r="47">
      <c r="A47" s="92" t="s">
        <v>252</v>
      </c>
      <c r="B47" s="94" t="s">
        <v>152</v>
      </c>
      <c r="C47" s="35"/>
      <c r="D47" s="35"/>
      <c r="E47" s="35"/>
      <c r="F47" s="35"/>
      <c r="G47" s="35"/>
      <c r="H47" s="36"/>
    </row>
    <row r="48" ht="15.75" customHeight="1">
      <c r="A48" s="92" t="s">
        <v>8</v>
      </c>
      <c r="B48" s="94" t="s">
        <v>272</v>
      </c>
      <c r="C48" s="35"/>
      <c r="D48" s="35"/>
      <c r="E48" s="35"/>
      <c r="F48" s="35"/>
      <c r="G48" s="35"/>
      <c r="H48" s="36"/>
    </row>
    <row r="49" ht="15.75" customHeight="1">
      <c r="A49" s="92" t="s">
        <v>217</v>
      </c>
      <c r="B49" s="135">
        <v>0.0</v>
      </c>
      <c r="C49" s="35"/>
      <c r="D49" s="35"/>
      <c r="E49" s="35"/>
      <c r="F49" s="35"/>
      <c r="G49" s="35"/>
      <c r="H49" s="36"/>
    </row>
    <row r="50" ht="15.75" customHeight="1">
      <c r="A50" s="92" t="s">
        <v>178</v>
      </c>
      <c r="B50" s="94">
        <v>30.0</v>
      </c>
      <c r="C50" s="35"/>
      <c r="D50" s="35"/>
      <c r="E50" s="35"/>
      <c r="F50" s="35"/>
      <c r="G50" s="35"/>
      <c r="H50" s="36"/>
    </row>
    <row r="51" ht="15.75" customHeight="1">
      <c r="A51" s="117" t="s">
        <v>254</v>
      </c>
      <c r="B51" s="6"/>
      <c r="C51" s="6"/>
      <c r="D51" s="6"/>
      <c r="E51" s="6"/>
      <c r="F51" s="6"/>
      <c r="G51" s="6"/>
      <c r="H51" s="6"/>
    </row>
    <row r="52" ht="15.75" customHeight="1">
      <c r="A52" s="118" t="s">
        <v>255</v>
      </c>
      <c r="B52" s="35"/>
      <c r="C52" s="35"/>
      <c r="D52" s="35"/>
      <c r="E52" s="35"/>
      <c r="F52" s="35"/>
      <c r="G52" s="35"/>
      <c r="H52" s="36"/>
    </row>
    <row r="53" ht="15.75" customHeight="1">
      <c r="A53" s="125" t="s">
        <v>332</v>
      </c>
      <c r="B53" s="61"/>
      <c r="C53" s="61"/>
      <c r="D53" s="61"/>
      <c r="E53" s="61"/>
      <c r="F53" s="61"/>
      <c r="G53" s="61"/>
      <c r="H53" s="62"/>
    </row>
    <row r="54" ht="15.75" customHeight="1">
      <c r="A54" s="120"/>
      <c r="H54" s="121"/>
    </row>
    <row r="55" ht="15.75" customHeight="1">
      <c r="A55" s="63"/>
      <c r="B55" s="64"/>
      <c r="C55" s="64"/>
      <c r="D55" s="64"/>
      <c r="E55" s="64"/>
      <c r="F55" s="64"/>
      <c r="G55" s="64"/>
      <c r="H55" s="65"/>
    </row>
    <row r="56" ht="15.75" customHeight="1"/>
    <row r="57" ht="15.75" customHeight="1">
      <c r="A57" s="89" t="s">
        <v>257</v>
      </c>
    </row>
    <row r="58">
      <c r="A58" s="92" t="s">
        <v>252</v>
      </c>
      <c r="B58" s="84"/>
      <c r="C58" s="35"/>
      <c r="D58" s="35"/>
      <c r="E58" s="35"/>
      <c r="F58" s="35"/>
      <c r="G58" s="35"/>
      <c r="H58" s="36"/>
    </row>
    <row r="59" ht="15.75" customHeight="1">
      <c r="A59" s="92" t="s">
        <v>8</v>
      </c>
      <c r="B59" s="84"/>
      <c r="C59" s="35"/>
      <c r="D59" s="35"/>
      <c r="E59" s="35"/>
      <c r="F59" s="35"/>
      <c r="G59" s="35"/>
      <c r="H59" s="36"/>
    </row>
    <row r="60" ht="15.75" customHeight="1">
      <c r="A60" s="92" t="s">
        <v>217</v>
      </c>
      <c r="B60" s="135"/>
      <c r="C60" s="35"/>
      <c r="D60" s="35"/>
      <c r="E60" s="35"/>
      <c r="F60" s="35"/>
      <c r="G60" s="35"/>
      <c r="H60" s="36"/>
    </row>
    <row r="61" ht="15.75" customHeight="1">
      <c r="A61" s="92" t="s">
        <v>178</v>
      </c>
      <c r="B61" s="135"/>
      <c r="C61" s="35"/>
      <c r="D61" s="35"/>
      <c r="E61" s="35"/>
      <c r="F61" s="35"/>
      <c r="G61" s="35"/>
      <c r="H61" s="36"/>
    </row>
    <row r="62" ht="15.75" customHeight="1">
      <c r="A62" s="123" t="s">
        <v>259</v>
      </c>
      <c r="B62" s="6"/>
      <c r="C62" s="6"/>
      <c r="D62" s="6"/>
      <c r="E62" s="6"/>
      <c r="F62" s="6"/>
      <c r="G62" s="6"/>
      <c r="H62" s="6"/>
    </row>
    <row r="63" ht="15.75" customHeight="1">
      <c r="A63" s="118" t="s">
        <v>255</v>
      </c>
      <c r="B63" s="35"/>
      <c r="C63" s="35"/>
      <c r="D63" s="35"/>
      <c r="E63" s="35"/>
      <c r="F63" s="35"/>
      <c r="G63" s="35"/>
      <c r="H63" s="36"/>
    </row>
    <row r="64" ht="15.75" customHeight="1">
      <c r="A64" s="129"/>
      <c r="B64" s="61"/>
      <c r="C64" s="61"/>
      <c r="D64" s="61"/>
      <c r="E64" s="61"/>
      <c r="F64" s="61"/>
      <c r="G64" s="61"/>
      <c r="H64" s="62"/>
    </row>
    <row r="65" ht="15.75" customHeight="1">
      <c r="A65" s="120"/>
      <c r="H65" s="121"/>
    </row>
    <row r="66" ht="15.75" customHeight="1">
      <c r="A66" s="63"/>
      <c r="B66" s="64"/>
      <c r="C66" s="64"/>
      <c r="D66" s="64"/>
      <c r="E66" s="64"/>
      <c r="F66" s="64"/>
      <c r="G66" s="64"/>
      <c r="H66" s="65"/>
    </row>
    <row r="67" ht="15.75" customHeight="1"/>
    <row r="68" ht="15.75" customHeight="1">
      <c r="A68" s="103" t="s">
        <v>261</v>
      </c>
      <c r="G68" s="98" t="s">
        <v>178</v>
      </c>
      <c r="H68" s="104">
        <f>B70</f>
        <v>10</v>
      </c>
    </row>
    <row r="69" ht="15.75" customHeight="1">
      <c r="G69" s="89" t="s">
        <v>262</v>
      </c>
    </row>
    <row r="70" ht="15.75" customHeight="1">
      <c r="A70" s="92" t="s">
        <v>178</v>
      </c>
      <c r="B70" s="116">
        <v>10.0</v>
      </c>
      <c r="C70" s="35"/>
      <c r="D70" s="35"/>
      <c r="E70" s="35"/>
      <c r="F70" s="35"/>
      <c r="G70" s="35"/>
      <c r="H70" s="36"/>
    </row>
    <row r="71" ht="15.75" customHeight="1">
      <c r="A71" s="124" t="s">
        <v>263</v>
      </c>
      <c r="B71" s="35"/>
      <c r="C71" s="35"/>
      <c r="D71" s="35"/>
      <c r="E71" s="35"/>
      <c r="F71" s="35"/>
      <c r="G71" s="35"/>
      <c r="H71" s="36"/>
    </row>
    <row r="72" ht="15.75" customHeight="1">
      <c r="A72" s="119" t="s">
        <v>301</v>
      </c>
      <c r="B72" s="61"/>
      <c r="C72" s="61"/>
      <c r="D72" s="61"/>
      <c r="E72" s="61"/>
      <c r="F72" s="61"/>
      <c r="G72" s="61"/>
      <c r="H72" s="62"/>
    </row>
    <row r="73" ht="15.75" customHeight="1">
      <c r="A73" s="63"/>
      <c r="B73" s="64"/>
      <c r="C73" s="64"/>
      <c r="D73" s="64"/>
      <c r="E73" s="64"/>
      <c r="F73" s="64"/>
      <c r="G73" s="64"/>
      <c r="H73" s="65"/>
    </row>
    <row r="74" ht="15.75" customHeight="1">
      <c r="A74" s="89" t="s">
        <v>265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216</v>
      </c>
    </row>
    <row r="3" ht="15.75" customHeight="1"/>
    <row r="4" ht="15.75" customHeight="1">
      <c r="B4" s="83" t="s">
        <v>1</v>
      </c>
      <c r="C4" s="100" t="str">
        <f>'Diseño'!C4</f>
        <v>667 - Programacion Comercial 1</v>
      </c>
      <c r="D4" s="35"/>
      <c r="E4" s="35"/>
      <c r="F4" s="35"/>
      <c r="G4" s="36"/>
    </row>
    <row r="5" ht="15.75" customHeight="1">
      <c r="B5" s="70" t="s">
        <v>79</v>
      </c>
      <c r="C5" s="84">
        <v>11.0</v>
      </c>
      <c r="D5" s="35"/>
      <c r="E5" s="35"/>
      <c r="F5" s="35"/>
      <c r="G5" s="36"/>
    </row>
    <row r="6" ht="15.75" customHeight="1">
      <c r="B6" s="101" t="s">
        <v>175</v>
      </c>
      <c r="C6" s="84">
        <f>H10+H21+H44+H68</f>
        <v>104</v>
      </c>
      <c r="D6" s="35"/>
      <c r="E6" s="35"/>
      <c r="F6" s="35"/>
      <c r="G6" s="36"/>
      <c r="I6" s="6"/>
    </row>
    <row r="7" ht="15.75" customHeight="1">
      <c r="B7" s="101" t="s">
        <v>217</v>
      </c>
      <c r="C7" s="84">
        <f>B49+B60</f>
        <v>10</v>
      </c>
      <c r="D7" s="35"/>
      <c r="E7" s="35"/>
      <c r="F7" s="35"/>
      <c r="G7" s="36"/>
    </row>
    <row r="8" ht="15.75" customHeight="1">
      <c r="B8" s="101" t="s">
        <v>218</v>
      </c>
      <c r="C8" s="102" t="str">
        <f>IF(H44&lt;=0, "❌ ERROR: La Actividad 1 debe tener un tiempo mayor a 0.", IF(H21&gt;60, "❌ ERROR: El 'Área de Conocimiento' no puede exceder los 60 min.", IF((H10+H21+H44+H68)&lt;100, "❌ ERROR: El tiempo total debe ser de al menos 100 min.", "✅ VALIDACIÓN CORRECTA")))</f>
        <v>✅ VALIDACIÓN CORRECTA</v>
      </c>
      <c r="D8" s="35"/>
      <c r="E8" s="35"/>
      <c r="F8" s="35"/>
      <c r="G8" s="36"/>
      <c r="I8" s="6"/>
      <c r="J8" s="6"/>
      <c r="K8" s="6"/>
    </row>
    <row r="9" ht="15.75" customHeight="1"/>
    <row r="10" ht="15.75" customHeight="1">
      <c r="A10" s="103" t="s">
        <v>219</v>
      </c>
      <c r="G10" s="98" t="s">
        <v>178</v>
      </c>
      <c r="H10" s="104">
        <f>B13</f>
        <v>4</v>
      </c>
    </row>
    <row r="11" ht="15.75" customHeight="1">
      <c r="G11" s="89" t="s">
        <v>220</v>
      </c>
    </row>
    <row r="12" ht="15.75" customHeight="1">
      <c r="A12" s="92" t="s">
        <v>221</v>
      </c>
      <c r="B12" s="94" t="s">
        <v>333</v>
      </c>
      <c r="C12" s="35"/>
      <c r="D12" s="35"/>
      <c r="E12" s="35"/>
      <c r="F12" s="35"/>
      <c r="G12" s="35"/>
      <c r="H12" s="36"/>
    </row>
    <row r="13" ht="15.75" customHeight="1">
      <c r="A13" s="93" t="s">
        <v>178</v>
      </c>
      <c r="B13" s="94">
        <v>4.0</v>
      </c>
      <c r="C13" s="35"/>
      <c r="D13" s="35"/>
      <c r="E13" s="35"/>
      <c r="F13" s="35"/>
      <c r="G13" s="35"/>
      <c r="H13" s="36"/>
    </row>
    <row r="14" ht="15.75" customHeight="1">
      <c r="A14" s="118" t="s">
        <v>223</v>
      </c>
      <c r="B14" s="35"/>
      <c r="C14" s="35"/>
      <c r="D14" s="35"/>
      <c r="E14" s="35"/>
      <c r="F14" s="35"/>
      <c r="G14" s="35"/>
      <c r="H14" s="36"/>
    </row>
    <row r="15" ht="15.75" customHeight="1">
      <c r="A15" s="119" t="s">
        <v>334</v>
      </c>
      <c r="B15" s="61"/>
      <c r="C15" s="61"/>
      <c r="D15" s="61"/>
      <c r="E15" s="61"/>
      <c r="F15" s="61"/>
      <c r="G15" s="61"/>
      <c r="H15" s="62"/>
    </row>
    <row r="16" ht="15.75" customHeight="1">
      <c r="A16" s="63"/>
      <c r="B16" s="64"/>
      <c r="C16" s="64"/>
      <c r="D16" s="64"/>
      <c r="E16" s="64"/>
      <c r="F16" s="64"/>
      <c r="G16" s="64"/>
      <c r="H16" s="65"/>
    </row>
    <row r="17" ht="15.75" customHeight="1">
      <c r="A17" s="118" t="s">
        <v>225</v>
      </c>
      <c r="B17" s="35"/>
      <c r="C17" s="35"/>
      <c r="D17" s="35"/>
      <c r="E17" s="35"/>
      <c r="F17" s="35"/>
      <c r="G17" s="35"/>
      <c r="H17" s="36"/>
    </row>
    <row r="18" ht="15.75" customHeight="1">
      <c r="A18" s="119" t="s">
        <v>335</v>
      </c>
      <c r="B18" s="61"/>
      <c r="C18" s="61"/>
      <c r="D18" s="61"/>
      <c r="E18" s="61"/>
      <c r="F18" s="61"/>
      <c r="G18" s="61"/>
      <c r="H18" s="62"/>
    </row>
    <row r="19" ht="27.0" customHeight="1">
      <c r="A19" s="63"/>
      <c r="B19" s="64"/>
      <c r="C19" s="64"/>
      <c r="D19" s="64"/>
      <c r="E19" s="64"/>
      <c r="F19" s="64"/>
      <c r="G19" s="64"/>
      <c r="H19" s="65"/>
    </row>
    <row r="20" ht="15.75" customHeight="1"/>
    <row r="21" ht="15.75" customHeight="1">
      <c r="A21" s="103" t="s">
        <v>227</v>
      </c>
      <c r="G21" s="98" t="s">
        <v>178</v>
      </c>
      <c r="H21" s="104">
        <f>SUM(D39:H42)</f>
        <v>60</v>
      </c>
      <c r="I21" s="6"/>
    </row>
    <row r="22" ht="15.75" customHeight="1">
      <c r="G22" s="89" t="s">
        <v>228</v>
      </c>
    </row>
    <row r="23" ht="15.75" customHeight="1">
      <c r="A23" s="92" t="s">
        <v>229</v>
      </c>
      <c r="B23" s="94" t="s">
        <v>152</v>
      </c>
      <c r="C23" s="35"/>
      <c r="D23" s="35"/>
      <c r="E23" s="35"/>
      <c r="F23" s="35"/>
      <c r="G23" s="35"/>
      <c r="H23" s="36"/>
    </row>
    <row r="24" ht="15.75" customHeight="1">
      <c r="A24" s="92" t="s">
        <v>229</v>
      </c>
      <c r="B24" s="94" t="s">
        <v>323</v>
      </c>
      <c r="C24" s="35"/>
      <c r="D24" s="35"/>
      <c r="E24" s="35"/>
      <c r="F24" s="35"/>
      <c r="G24" s="35"/>
      <c r="H24" s="36"/>
    </row>
    <row r="25" ht="15.75" customHeight="1"/>
    <row r="26" ht="15.75" customHeight="1">
      <c r="A26" s="110" t="s">
        <v>230</v>
      </c>
      <c r="B26" s="6"/>
      <c r="C26" s="6"/>
      <c r="D26" s="6"/>
    </row>
    <row r="27" ht="15.75" customHeight="1">
      <c r="A27" s="126" t="s">
        <v>73</v>
      </c>
      <c r="B27" s="127" t="s">
        <v>231</v>
      </c>
      <c r="C27" s="36"/>
      <c r="D27" s="127" t="s">
        <v>232</v>
      </c>
      <c r="E27" s="36"/>
      <c r="F27" s="127" t="s">
        <v>233</v>
      </c>
      <c r="G27" s="35"/>
      <c r="H27" s="36"/>
    </row>
    <row r="28" ht="15.75" customHeight="1">
      <c r="A28" s="70">
        <v>1.0</v>
      </c>
      <c r="B28" s="84" t="str">
        <f>IFERROR(__xludf.DUMMYFUNCTION("FILTER('Diseño'!D:D,'Diseño'!H:H=$C$5)"),"3. Powe Bi")</f>
        <v>3. Powe Bi</v>
      </c>
      <c r="C28" s="36"/>
      <c r="D28" s="84" t="str">
        <f>IFERROR(__xludf.DUMMYFUNCTION("FILTER('Diseño'!E:E,'Diseño'!H:H=$C$5)"),"Power BI")</f>
        <v>Power BI</v>
      </c>
      <c r="E28" s="36"/>
      <c r="F28" s="84" t="str">
        <f>IFERROR(__xludf.DUMMYFUNCTION("FILTER('Diseño'!F:F,'Diseño'!H:H=$C$5)"),"Interacción entre visualizaciones")</f>
        <v>Interacción entre visualizaciones</v>
      </c>
      <c r="G28" s="35"/>
      <c r="H28" s="36"/>
    </row>
    <row r="29" ht="15.75" customHeight="1">
      <c r="A29" s="70">
        <v>2.0</v>
      </c>
      <c r="B29" s="84" t="str">
        <f>IFERROR(__xludf.DUMMYFUNCTION("""COMPUTED_VALUE"""),"3. Powe Bi")</f>
        <v>3. Powe Bi</v>
      </c>
      <c r="C29" s="36"/>
      <c r="D29" s="84" t="str">
        <f>IFERROR(__xludf.DUMMYFUNCTION("""COMPUTED_VALUE"""),"Power BI")</f>
        <v>Power BI</v>
      </c>
      <c r="E29" s="36"/>
      <c r="F29" s="84" t="str">
        <f>IFERROR(__xludf.DUMMYFUNCTION("""COMPUTED_VALUE"""),"Uso de filtros y segmentadores")</f>
        <v>Uso de filtros y segmentadores</v>
      </c>
      <c r="G29" s="35"/>
      <c r="H29" s="36"/>
    </row>
    <row r="30" ht="15.75" customHeight="1">
      <c r="A30" s="70">
        <v>3.0</v>
      </c>
      <c r="B30" s="84" t="str">
        <f>IFERROR(__xludf.DUMMYFUNCTION("""COMPUTED_VALUE"""),"3. Powe Bi")</f>
        <v>3. Powe Bi</v>
      </c>
      <c r="C30" s="36"/>
      <c r="D30" s="84" t="str">
        <f>IFERROR(__xludf.DUMMYFUNCTION("""COMPUTED_VALUE"""),"Power BI")</f>
        <v>Power BI</v>
      </c>
      <c r="E30" s="36"/>
      <c r="F30" s="84" t="str">
        <f>IFERROR(__xludf.DUMMYFUNCTION("""COMPUTED_VALUE"""),"Jerarquías y drill down")</f>
        <v>Jerarquías y drill down</v>
      </c>
      <c r="G30" s="35"/>
      <c r="H30" s="36"/>
    </row>
    <row r="31" ht="15.75" customHeight="1">
      <c r="A31" s="70">
        <v>4.0</v>
      </c>
      <c r="B31" s="84" t="str">
        <f>IFERROR(__xludf.DUMMYFUNCTION("""COMPUTED_VALUE"""),"3. Powe Bi")</f>
        <v>3. Powe Bi</v>
      </c>
      <c r="C31" s="36"/>
      <c r="D31" s="84" t="str">
        <f>IFERROR(__xludf.DUMMYFUNCTION("""COMPUTED_VALUE"""),"Power BI")</f>
        <v>Power BI</v>
      </c>
      <c r="E31" s="36"/>
      <c r="F31" s="84" t="str">
        <f>IFERROR(__xludf.DUMMYFUNCTION("""COMPUTED_VALUE"""),"Panel de filtros a nivel visual, página y reporte")</f>
        <v>Panel de filtros a nivel visual, página y reporte</v>
      </c>
      <c r="G31" s="35"/>
      <c r="H31" s="36"/>
    </row>
    <row r="32" ht="15.75" customHeight="1">
      <c r="A32" s="70">
        <v>5.0</v>
      </c>
      <c r="B32" s="84" t="str">
        <f>IFERROR(__xludf.DUMMYFUNCTION("""COMPUTED_VALUE"""),"3. Powe Bi")</f>
        <v>3. Powe Bi</v>
      </c>
      <c r="C32" s="36"/>
      <c r="D32" s="84" t="str">
        <f>IFERROR(__xludf.DUMMYFUNCTION("""COMPUTED_VALUE"""),"Power BI")</f>
        <v>Power BI</v>
      </c>
      <c r="E32" s="36"/>
      <c r="F32" s="84" t="str">
        <f>IFERROR(__xludf.DUMMYFUNCTION("""COMPUTED_VALUE"""),"Botones, marcadores y navegación")</f>
        <v>Botones, marcadores y navegación</v>
      </c>
      <c r="G32" s="35"/>
      <c r="H32" s="36"/>
    </row>
    <row r="33" ht="15.75" customHeight="1">
      <c r="A33" s="70">
        <v>6.0</v>
      </c>
      <c r="B33" s="84" t="str">
        <f>IFERROR(__xludf.DUMMYFUNCTION("""COMPUTED_VALUE"""),"3. Powe Bi")</f>
        <v>3. Powe Bi</v>
      </c>
      <c r="C33" s="36"/>
      <c r="D33" s="84" t="str">
        <f>IFERROR(__xludf.DUMMYFUNCTION("""COMPUTED_VALUE"""),"Power BI")</f>
        <v>Power BI</v>
      </c>
      <c r="E33" s="36"/>
      <c r="F33" s="84" t="str">
        <f>IFERROR(__xludf.DUMMYFUNCTION("""COMPUTED_VALUE"""),"Publicación en Power BI Service")</f>
        <v>Publicación en Power BI Service</v>
      </c>
      <c r="G33" s="35"/>
      <c r="H33" s="36"/>
    </row>
    <row r="34" ht="15.75" customHeight="1">
      <c r="A34" s="70">
        <v>7.0</v>
      </c>
      <c r="B34" s="84" t="str">
        <f>IFERROR(__xludf.DUMMYFUNCTION("""COMPUTED_VALUE"""),"3. Powe Bi")</f>
        <v>3. Powe Bi</v>
      </c>
      <c r="C34" s="36"/>
      <c r="D34" s="84" t="str">
        <f>IFERROR(__xludf.DUMMYFUNCTION("""COMPUTED_VALUE"""),"Power BI")</f>
        <v>Power BI</v>
      </c>
      <c r="E34" s="36"/>
      <c r="F34" s="84" t="str">
        <f>IFERROR(__xludf.DUMMYFUNCTION("""COMPUTED_VALUE"""),"Compartir dashboards y actualización básica")</f>
        <v>Compartir dashboards y actualización básica</v>
      </c>
      <c r="G34" s="35"/>
      <c r="H34" s="36"/>
    </row>
    <row r="35" ht="15.75" customHeight="1"/>
    <row r="36" ht="15.75" customHeight="1">
      <c r="A36" s="110" t="s">
        <v>237</v>
      </c>
    </row>
    <row r="37" ht="15.75" customHeight="1">
      <c r="A37" s="6"/>
      <c r="B37" s="6"/>
      <c r="C37" s="6"/>
      <c r="D37" s="6"/>
      <c r="E37" s="6"/>
      <c r="F37" s="6"/>
      <c r="G37" s="6"/>
      <c r="H37" s="6"/>
    </row>
    <row r="38">
      <c r="A38" s="126" t="s">
        <v>238</v>
      </c>
      <c r="B38" s="126" t="s">
        <v>33</v>
      </c>
      <c r="C38" s="128" t="s">
        <v>270</v>
      </c>
      <c r="D38" s="124" t="s">
        <v>271</v>
      </c>
      <c r="E38" s="35"/>
      <c r="F38" s="35"/>
      <c r="G38" s="35"/>
      <c r="H38" s="36"/>
      <c r="I38" s="115" t="s">
        <v>18</v>
      </c>
    </row>
    <row r="39" ht="15.75" customHeight="1">
      <c r="A39" s="70" t="s">
        <v>240</v>
      </c>
      <c r="B39" s="70" t="s">
        <v>241</v>
      </c>
      <c r="C39" s="70">
        <v>30.0</v>
      </c>
      <c r="D39" s="94">
        <v>30.0</v>
      </c>
      <c r="E39" s="35"/>
      <c r="F39" s="35"/>
      <c r="G39" s="35"/>
      <c r="H39" s="36"/>
      <c r="I39" s="70" t="str">
        <f t="shared" ref="I39:I42" si="1">IF(D39&lt;=C39,"Correcto", "Corregir")</f>
        <v>Correcto</v>
      </c>
    </row>
    <row r="40" ht="15.75" customHeight="1">
      <c r="A40" s="70" t="s">
        <v>243</v>
      </c>
      <c r="B40" s="70" t="s">
        <v>241</v>
      </c>
      <c r="C40" s="70">
        <v>6.0</v>
      </c>
      <c r="D40" s="94">
        <v>5.0</v>
      </c>
      <c r="E40" s="35"/>
      <c r="F40" s="35"/>
      <c r="G40" s="35"/>
      <c r="H40" s="36"/>
      <c r="I40" s="70" t="str">
        <f t="shared" si="1"/>
        <v>Correcto</v>
      </c>
    </row>
    <row r="41" ht="15.75" customHeight="1">
      <c r="A41" s="70" t="s">
        <v>244</v>
      </c>
      <c r="B41" s="70" t="s">
        <v>245</v>
      </c>
      <c r="C41" s="70">
        <v>10.0</v>
      </c>
      <c r="D41" s="94">
        <v>0.0</v>
      </c>
      <c r="E41" s="35"/>
      <c r="F41" s="35"/>
      <c r="G41" s="35"/>
      <c r="H41" s="36"/>
      <c r="I41" s="70" t="str">
        <f t="shared" si="1"/>
        <v>Correcto</v>
      </c>
    </row>
    <row r="42" ht="15.75" customHeight="1">
      <c r="A42" s="70" t="s">
        <v>247</v>
      </c>
      <c r="B42" s="70" t="s">
        <v>241</v>
      </c>
      <c r="C42" s="70">
        <v>30.0</v>
      </c>
      <c r="D42" s="94">
        <v>25.0</v>
      </c>
      <c r="E42" s="35"/>
      <c r="F42" s="35"/>
      <c r="G42" s="35"/>
      <c r="H42" s="36"/>
      <c r="I42" s="70" t="str">
        <f t="shared" si="1"/>
        <v>Correcto</v>
      </c>
    </row>
    <row r="43" ht="15.75" customHeight="1"/>
    <row r="44" ht="15.75" customHeight="1">
      <c r="A44" s="103" t="s">
        <v>249</v>
      </c>
      <c r="G44" s="98" t="s">
        <v>178</v>
      </c>
      <c r="H44" s="104">
        <f>B50</f>
        <v>30</v>
      </c>
    </row>
    <row r="45" ht="15.75" customHeight="1">
      <c r="G45" s="89" t="s">
        <v>250</v>
      </c>
    </row>
    <row r="46" ht="15.75" customHeight="1">
      <c r="A46" s="89" t="s">
        <v>251</v>
      </c>
    </row>
    <row r="47">
      <c r="A47" s="92" t="s">
        <v>252</v>
      </c>
      <c r="B47" s="94" t="s">
        <v>152</v>
      </c>
      <c r="C47" s="35"/>
      <c r="D47" s="35"/>
      <c r="E47" s="35"/>
      <c r="F47" s="35"/>
      <c r="G47" s="35"/>
      <c r="H47" s="36"/>
    </row>
    <row r="48" ht="15.75" customHeight="1">
      <c r="A48" s="92" t="s">
        <v>8</v>
      </c>
      <c r="B48" s="94" t="s">
        <v>272</v>
      </c>
      <c r="C48" s="35"/>
      <c r="D48" s="35"/>
      <c r="E48" s="35"/>
      <c r="F48" s="35"/>
      <c r="G48" s="35"/>
      <c r="H48" s="36"/>
    </row>
    <row r="49" ht="15.75" customHeight="1">
      <c r="A49" s="92" t="s">
        <v>217</v>
      </c>
      <c r="B49" s="116">
        <v>10.0</v>
      </c>
      <c r="C49" s="35"/>
      <c r="D49" s="35"/>
      <c r="E49" s="35"/>
      <c r="F49" s="35"/>
      <c r="G49" s="35"/>
      <c r="H49" s="36"/>
    </row>
    <row r="50" ht="15.75" customHeight="1">
      <c r="A50" s="92" t="s">
        <v>178</v>
      </c>
      <c r="B50" s="94">
        <v>30.0</v>
      </c>
      <c r="C50" s="35"/>
      <c r="D50" s="35"/>
      <c r="E50" s="35"/>
      <c r="F50" s="35"/>
      <c r="G50" s="35"/>
      <c r="H50" s="36"/>
    </row>
    <row r="51" ht="15.75" customHeight="1">
      <c r="A51" s="117" t="s">
        <v>254</v>
      </c>
      <c r="B51" s="6"/>
      <c r="C51" s="6"/>
      <c r="D51" s="6"/>
      <c r="E51" s="6"/>
      <c r="F51" s="6"/>
      <c r="G51" s="6"/>
      <c r="H51" s="6"/>
    </row>
    <row r="52" ht="15.75" customHeight="1">
      <c r="A52" s="118" t="s">
        <v>255</v>
      </c>
      <c r="B52" s="35"/>
      <c r="C52" s="35"/>
      <c r="D52" s="35"/>
      <c r="E52" s="35"/>
      <c r="F52" s="35"/>
      <c r="G52" s="35"/>
      <c r="H52" s="36"/>
    </row>
    <row r="53" ht="15.75" customHeight="1">
      <c r="A53" s="130" t="s">
        <v>336</v>
      </c>
      <c r="B53" s="61"/>
      <c r="C53" s="61"/>
      <c r="D53" s="61"/>
      <c r="E53" s="61"/>
      <c r="F53" s="61"/>
      <c r="G53" s="61"/>
      <c r="H53" s="62"/>
    </row>
    <row r="54" ht="15.75" customHeight="1">
      <c r="A54" s="120"/>
      <c r="H54" s="121"/>
    </row>
    <row r="55" ht="15.75" customHeight="1">
      <c r="A55" s="63"/>
      <c r="B55" s="64"/>
      <c r="C55" s="64"/>
      <c r="D55" s="64"/>
      <c r="E55" s="64"/>
      <c r="F55" s="64"/>
      <c r="G55" s="64"/>
      <c r="H55" s="65"/>
    </row>
    <row r="56" ht="15.75" customHeight="1"/>
    <row r="57" ht="15.75" customHeight="1">
      <c r="A57" s="89" t="s">
        <v>257</v>
      </c>
    </row>
    <row r="58">
      <c r="A58" s="92" t="s">
        <v>252</v>
      </c>
      <c r="B58" s="84"/>
      <c r="C58" s="35"/>
      <c r="D58" s="35"/>
      <c r="E58" s="35"/>
      <c r="F58" s="35"/>
      <c r="G58" s="35"/>
      <c r="H58" s="36"/>
    </row>
    <row r="59" ht="15.75" customHeight="1">
      <c r="A59" s="92" t="s">
        <v>8</v>
      </c>
      <c r="B59" s="84"/>
      <c r="C59" s="35"/>
      <c r="D59" s="35"/>
      <c r="E59" s="35"/>
      <c r="F59" s="35"/>
      <c r="G59" s="35"/>
      <c r="H59" s="36"/>
    </row>
    <row r="60" ht="15.75" customHeight="1">
      <c r="A60" s="92" t="s">
        <v>217</v>
      </c>
      <c r="B60" s="135"/>
      <c r="C60" s="35"/>
      <c r="D60" s="35"/>
      <c r="E60" s="35"/>
      <c r="F60" s="35"/>
      <c r="G60" s="35"/>
      <c r="H60" s="36"/>
    </row>
    <row r="61" ht="15.75" customHeight="1">
      <c r="A61" s="92" t="s">
        <v>178</v>
      </c>
      <c r="B61" s="135"/>
      <c r="C61" s="35"/>
      <c r="D61" s="35"/>
      <c r="E61" s="35"/>
      <c r="F61" s="35"/>
      <c r="G61" s="35"/>
      <c r="H61" s="36"/>
    </row>
    <row r="62" ht="15.75" customHeight="1">
      <c r="A62" s="123" t="s">
        <v>259</v>
      </c>
      <c r="B62" s="6"/>
      <c r="C62" s="6"/>
      <c r="D62" s="6"/>
      <c r="E62" s="6"/>
      <c r="F62" s="6"/>
      <c r="G62" s="6"/>
      <c r="H62" s="6"/>
    </row>
    <row r="63" ht="15.75" customHeight="1">
      <c r="A63" s="118" t="s">
        <v>255</v>
      </c>
      <c r="B63" s="35"/>
      <c r="C63" s="35"/>
      <c r="D63" s="35"/>
      <c r="E63" s="35"/>
      <c r="F63" s="35"/>
      <c r="G63" s="35"/>
      <c r="H63" s="36"/>
    </row>
    <row r="64" ht="15.75" customHeight="1">
      <c r="A64" s="129"/>
      <c r="B64" s="61"/>
      <c r="C64" s="61"/>
      <c r="D64" s="61"/>
      <c r="E64" s="61"/>
      <c r="F64" s="61"/>
      <c r="G64" s="61"/>
      <c r="H64" s="62"/>
    </row>
    <row r="65" ht="15.75" customHeight="1">
      <c r="A65" s="120"/>
      <c r="H65" s="121"/>
    </row>
    <row r="66" ht="15.75" customHeight="1">
      <c r="A66" s="63"/>
      <c r="B66" s="64"/>
      <c r="C66" s="64"/>
      <c r="D66" s="64"/>
      <c r="E66" s="64"/>
      <c r="F66" s="64"/>
      <c r="G66" s="64"/>
      <c r="H66" s="65"/>
    </row>
    <row r="67" ht="15.75" customHeight="1"/>
    <row r="68" ht="15.75" customHeight="1">
      <c r="A68" s="103" t="s">
        <v>261</v>
      </c>
      <c r="G68" s="98" t="s">
        <v>178</v>
      </c>
      <c r="H68" s="104">
        <f>B70</f>
        <v>10</v>
      </c>
    </row>
    <row r="69" ht="15.75" customHeight="1">
      <c r="G69" s="89" t="s">
        <v>262</v>
      </c>
    </row>
    <row r="70" ht="15.75" customHeight="1">
      <c r="A70" s="92" t="s">
        <v>178</v>
      </c>
      <c r="B70" s="116">
        <v>10.0</v>
      </c>
      <c r="C70" s="35"/>
      <c r="D70" s="35"/>
      <c r="E70" s="35"/>
      <c r="F70" s="35"/>
      <c r="G70" s="35"/>
      <c r="H70" s="36"/>
    </row>
    <row r="71" ht="15.75" customHeight="1">
      <c r="A71" s="124" t="s">
        <v>263</v>
      </c>
      <c r="B71" s="35"/>
      <c r="C71" s="35"/>
      <c r="D71" s="35"/>
      <c r="E71" s="35"/>
      <c r="F71" s="35"/>
      <c r="G71" s="35"/>
      <c r="H71" s="36"/>
    </row>
    <row r="72" ht="15.75" customHeight="1">
      <c r="A72" s="119" t="s">
        <v>337</v>
      </c>
      <c r="B72" s="61"/>
      <c r="C72" s="61"/>
      <c r="D72" s="61"/>
      <c r="E72" s="61"/>
      <c r="F72" s="61"/>
      <c r="G72" s="61"/>
      <c r="H72" s="62"/>
    </row>
    <row r="73" ht="15.75" customHeight="1">
      <c r="A73" s="63"/>
      <c r="B73" s="64"/>
      <c r="C73" s="64"/>
      <c r="D73" s="64"/>
      <c r="E73" s="64"/>
      <c r="F73" s="64"/>
      <c r="G73" s="64"/>
      <c r="H73" s="65"/>
    </row>
    <row r="74" ht="15.75" customHeight="1">
      <c r="A74" s="89" t="s">
        <v>265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36" t="s">
        <v>14</v>
      </c>
    </row>
    <row r="3" ht="15.75" customHeight="1"/>
    <row r="4" ht="15.75" customHeight="1">
      <c r="B4" s="83" t="s">
        <v>1</v>
      </c>
      <c r="C4" s="84" t="str">
        <f>'Diseño'!C4</f>
        <v>667 - Programacion Comercial 1</v>
      </c>
      <c r="D4" s="35"/>
      <c r="E4" s="35"/>
      <c r="F4" s="35"/>
      <c r="G4" s="36"/>
    </row>
    <row r="5" ht="15.75" customHeight="1">
      <c r="B5" s="101" t="s">
        <v>175</v>
      </c>
      <c r="C5" s="84">
        <f>H9+H26+H43</f>
        <v>40</v>
      </c>
      <c r="D5" s="35"/>
      <c r="E5" s="35"/>
      <c r="F5" s="35"/>
      <c r="G5" s="36"/>
    </row>
    <row r="6" ht="15.75" customHeight="1">
      <c r="B6" s="101" t="s">
        <v>217</v>
      </c>
      <c r="C6" s="84">
        <f>F9+F26+F43</f>
        <v>70</v>
      </c>
      <c r="D6" s="35"/>
      <c r="E6" s="35"/>
      <c r="F6" s="35"/>
      <c r="G6" s="36"/>
    </row>
    <row r="7" ht="15.75" customHeight="1">
      <c r="B7" s="58" t="s">
        <v>338</v>
      </c>
    </row>
    <row r="8" ht="15.75" customHeight="1"/>
    <row r="9" ht="15.75" customHeight="1">
      <c r="A9" s="103" t="s">
        <v>339</v>
      </c>
      <c r="E9" s="98" t="s">
        <v>217</v>
      </c>
      <c r="F9" s="109">
        <v>30.0</v>
      </c>
      <c r="G9" s="98" t="s">
        <v>340</v>
      </c>
      <c r="H9" s="109">
        <v>20.0</v>
      </c>
    </row>
    <row r="10" ht="15.75" customHeight="1">
      <c r="A10" s="58" t="s">
        <v>241</v>
      </c>
    </row>
    <row r="11" ht="15.75" customHeight="1">
      <c r="A11" s="126" t="s">
        <v>229</v>
      </c>
      <c r="B11" s="94" t="s">
        <v>80</v>
      </c>
      <c r="C11" s="35"/>
      <c r="D11" s="35"/>
      <c r="E11" s="35"/>
      <c r="F11" s="35"/>
      <c r="G11" s="35"/>
      <c r="H11" s="36"/>
    </row>
    <row r="12" ht="15.75" customHeight="1">
      <c r="A12" s="126" t="s">
        <v>229</v>
      </c>
      <c r="B12" s="94" t="s">
        <v>105</v>
      </c>
      <c r="C12" s="35"/>
      <c r="D12" s="35"/>
      <c r="E12" s="35"/>
      <c r="F12" s="35"/>
      <c r="G12" s="35"/>
      <c r="H12" s="36"/>
    </row>
    <row r="13" ht="15.75" customHeight="1">
      <c r="A13" s="126" t="s">
        <v>229</v>
      </c>
      <c r="B13" s="84"/>
      <c r="C13" s="35"/>
      <c r="D13" s="35"/>
      <c r="E13" s="35"/>
      <c r="F13" s="35"/>
      <c r="G13" s="35"/>
      <c r="H13" s="36"/>
    </row>
    <row r="14" ht="15.75" customHeight="1">
      <c r="A14" s="126" t="s">
        <v>341</v>
      </c>
      <c r="B14" s="94" t="s">
        <v>342</v>
      </c>
      <c r="C14" s="35"/>
      <c r="D14" s="35"/>
      <c r="E14" s="35"/>
      <c r="F14" s="35"/>
      <c r="G14" s="35"/>
      <c r="H14" s="36"/>
    </row>
    <row r="15" ht="15.75" customHeight="1">
      <c r="A15" s="118" t="s">
        <v>343</v>
      </c>
      <c r="B15" s="35"/>
      <c r="C15" s="35"/>
      <c r="D15" s="35"/>
      <c r="E15" s="35"/>
      <c r="F15" s="35"/>
      <c r="G15" s="35"/>
      <c r="H15" s="36"/>
    </row>
    <row r="16" ht="15.75" customHeight="1">
      <c r="A16" s="119" t="s">
        <v>344</v>
      </c>
      <c r="B16" s="61"/>
      <c r="C16" s="61"/>
      <c r="D16" s="61"/>
      <c r="E16" s="61"/>
      <c r="F16" s="61"/>
      <c r="G16" s="61"/>
      <c r="H16" s="62"/>
    </row>
    <row r="17" ht="15.75" customHeight="1">
      <c r="A17" s="120"/>
      <c r="H17" s="121"/>
    </row>
    <row r="18" ht="15.75" customHeight="1">
      <c r="A18" s="63"/>
      <c r="B18" s="64"/>
      <c r="C18" s="64"/>
      <c r="D18" s="64"/>
      <c r="E18" s="64"/>
      <c r="F18" s="64"/>
      <c r="G18" s="64"/>
      <c r="H18" s="65"/>
    </row>
    <row r="19" ht="15.75" customHeight="1">
      <c r="A19" s="118" t="s">
        <v>345</v>
      </c>
      <c r="B19" s="35"/>
      <c r="C19" s="35"/>
      <c r="D19" s="35"/>
      <c r="E19" s="35"/>
      <c r="F19" s="35"/>
      <c r="G19" s="35"/>
      <c r="H19" s="36"/>
    </row>
    <row r="20" ht="15.75" customHeight="1">
      <c r="A20" s="137" t="s">
        <v>346</v>
      </c>
      <c r="B20" s="61"/>
      <c r="C20" s="61"/>
      <c r="D20" s="61"/>
      <c r="E20" s="61"/>
      <c r="F20" s="61"/>
      <c r="G20" s="61"/>
      <c r="H20" s="62"/>
    </row>
    <row r="21" ht="15.75" customHeight="1">
      <c r="A21" s="120"/>
      <c r="H21" s="121"/>
    </row>
    <row r="22" ht="15.75" customHeight="1">
      <c r="A22" s="120"/>
      <c r="H22" s="121"/>
    </row>
    <row r="23" ht="15.75" customHeight="1">
      <c r="A23" s="63"/>
      <c r="B23" s="64"/>
      <c r="C23" s="64"/>
      <c r="D23" s="64"/>
      <c r="E23" s="64"/>
      <c r="F23" s="64"/>
      <c r="G23" s="64"/>
      <c r="H23" s="65"/>
    </row>
    <row r="24" ht="15.75" customHeight="1"/>
    <row r="25" ht="15.75" customHeight="1"/>
    <row r="26" ht="15.75" customHeight="1">
      <c r="A26" s="103" t="s">
        <v>347</v>
      </c>
      <c r="E26" s="98" t="s">
        <v>217</v>
      </c>
      <c r="F26" s="109">
        <v>40.0</v>
      </c>
      <c r="G26" s="98" t="s">
        <v>340</v>
      </c>
      <c r="H26" s="109">
        <v>20.0</v>
      </c>
    </row>
    <row r="27" ht="15.75" customHeight="1">
      <c r="A27" s="58" t="s">
        <v>241</v>
      </c>
    </row>
    <row r="28" ht="15.75" customHeight="1">
      <c r="A28" s="126" t="s">
        <v>229</v>
      </c>
      <c r="B28" s="94" t="s">
        <v>152</v>
      </c>
      <c r="C28" s="35"/>
      <c r="D28" s="35"/>
      <c r="E28" s="35"/>
      <c r="F28" s="35"/>
      <c r="G28" s="35"/>
      <c r="H28" s="36"/>
    </row>
    <row r="29" ht="15.75" customHeight="1">
      <c r="A29" s="126" t="s">
        <v>229</v>
      </c>
      <c r="B29" s="94" t="s">
        <v>122</v>
      </c>
      <c r="C29" s="35"/>
      <c r="D29" s="35"/>
      <c r="E29" s="35"/>
      <c r="F29" s="35"/>
      <c r="G29" s="35"/>
      <c r="H29" s="36"/>
    </row>
    <row r="30" ht="15.75" customHeight="1">
      <c r="A30" s="126" t="s">
        <v>229</v>
      </c>
      <c r="B30" s="94" t="s">
        <v>269</v>
      </c>
      <c r="C30" s="35"/>
      <c r="D30" s="35"/>
      <c r="E30" s="35"/>
      <c r="F30" s="35"/>
      <c r="G30" s="35"/>
      <c r="H30" s="36"/>
    </row>
    <row r="31" ht="15.75" customHeight="1">
      <c r="A31" s="126" t="s">
        <v>341</v>
      </c>
      <c r="B31" s="94" t="s">
        <v>348</v>
      </c>
      <c r="C31" s="35"/>
      <c r="D31" s="35"/>
      <c r="E31" s="35"/>
      <c r="F31" s="35"/>
      <c r="G31" s="35"/>
      <c r="H31" s="36"/>
    </row>
    <row r="32" ht="15.75" customHeight="1">
      <c r="A32" s="118" t="s">
        <v>343</v>
      </c>
      <c r="B32" s="35"/>
      <c r="C32" s="35"/>
      <c r="D32" s="35"/>
      <c r="E32" s="35"/>
      <c r="F32" s="35"/>
      <c r="G32" s="35"/>
      <c r="H32" s="36"/>
    </row>
    <row r="33" ht="15.75" customHeight="1">
      <c r="A33" s="119" t="s">
        <v>349</v>
      </c>
      <c r="B33" s="61"/>
      <c r="C33" s="61"/>
      <c r="D33" s="61"/>
      <c r="E33" s="61"/>
      <c r="F33" s="61"/>
      <c r="G33" s="61"/>
      <c r="H33" s="62"/>
    </row>
    <row r="34" ht="15.75" customHeight="1">
      <c r="A34" s="120"/>
      <c r="H34" s="121"/>
    </row>
    <row r="35" ht="15.75" customHeight="1">
      <c r="A35" s="63"/>
      <c r="B35" s="64"/>
      <c r="C35" s="64"/>
      <c r="D35" s="64"/>
      <c r="E35" s="64"/>
      <c r="F35" s="64"/>
      <c r="G35" s="64"/>
      <c r="H35" s="65"/>
    </row>
    <row r="36" ht="15.75" customHeight="1">
      <c r="A36" s="118" t="s">
        <v>345</v>
      </c>
      <c r="B36" s="35"/>
      <c r="C36" s="35"/>
      <c r="D36" s="35"/>
      <c r="E36" s="35"/>
      <c r="F36" s="35"/>
      <c r="G36" s="35"/>
      <c r="H36" s="36"/>
    </row>
    <row r="37" ht="15.75" customHeight="1">
      <c r="A37" s="119" t="s">
        <v>350</v>
      </c>
      <c r="B37" s="61"/>
      <c r="C37" s="61"/>
      <c r="D37" s="61"/>
      <c r="E37" s="61"/>
      <c r="F37" s="61"/>
      <c r="G37" s="61"/>
      <c r="H37" s="62"/>
    </row>
    <row r="38" ht="15.75" customHeight="1">
      <c r="A38" s="120"/>
      <c r="H38" s="121"/>
    </row>
    <row r="39" ht="15.75" customHeight="1">
      <c r="A39" s="120"/>
      <c r="H39" s="121"/>
    </row>
    <row r="40" ht="15.75" customHeight="1">
      <c r="A40" s="63"/>
      <c r="B40" s="64"/>
      <c r="C40" s="64"/>
      <c r="D40" s="64"/>
      <c r="E40" s="64"/>
      <c r="F40" s="64"/>
      <c r="G40" s="64"/>
      <c r="H40" s="65"/>
    </row>
    <row r="41" ht="15.75" customHeight="1"/>
    <row r="42" ht="15.75" customHeight="1"/>
    <row r="43" ht="15.75" customHeight="1">
      <c r="A43" s="103" t="s">
        <v>351</v>
      </c>
      <c r="E43" s="98" t="s">
        <v>217</v>
      </c>
      <c r="F43" s="104"/>
      <c r="G43" s="98" t="s">
        <v>340</v>
      </c>
      <c r="H43" s="104"/>
    </row>
    <row r="44" ht="15.75" customHeight="1">
      <c r="A44" s="117" t="s">
        <v>352</v>
      </c>
    </row>
    <row r="45" ht="15.75" customHeight="1">
      <c r="A45" s="126" t="s">
        <v>229</v>
      </c>
      <c r="B45" s="84"/>
      <c r="C45" s="35"/>
      <c r="D45" s="35"/>
      <c r="E45" s="35"/>
      <c r="F45" s="35"/>
      <c r="G45" s="35"/>
      <c r="H45" s="36"/>
    </row>
    <row r="46" ht="15.75" customHeight="1">
      <c r="A46" s="126" t="s">
        <v>229</v>
      </c>
      <c r="B46" s="84"/>
      <c r="C46" s="35"/>
      <c r="D46" s="35"/>
      <c r="E46" s="35"/>
      <c r="F46" s="35"/>
      <c r="G46" s="35"/>
      <c r="H46" s="36"/>
    </row>
    <row r="47" ht="15.75" customHeight="1">
      <c r="A47" s="126" t="s">
        <v>229</v>
      </c>
      <c r="B47" s="84"/>
      <c r="C47" s="35"/>
      <c r="D47" s="35"/>
      <c r="E47" s="35"/>
      <c r="F47" s="35"/>
      <c r="G47" s="35"/>
      <c r="H47" s="36"/>
    </row>
    <row r="48" ht="15.75" customHeight="1">
      <c r="A48" s="126" t="s">
        <v>341</v>
      </c>
      <c r="B48" s="84"/>
      <c r="C48" s="35"/>
      <c r="D48" s="35"/>
      <c r="E48" s="35"/>
      <c r="F48" s="35"/>
      <c r="G48" s="35"/>
      <c r="H48" s="36"/>
    </row>
    <row r="49" ht="15.75" customHeight="1">
      <c r="A49" s="118" t="s">
        <v>343</v>
      </c>
      <c r="B49" s="35"/>
      <c r="C49" s="35"/>
      <c r="D49" s="35"/>
      <c r="E49" s="35"/>
      <c r="F49" s="35"/>
      <c r="G49" s="35"/>
      <c r="H49" s="36"/>
    </row>
    <row r="50" ht="15.75" customHeight="1">
      <c r="A50" s="129"/>
      <c r="B50" s="61"/>
      <c r="C50" s="61"/>
      <c r="D50" s="61"/>
      <c r="E50" s="61"/>
      <c r="F50" s="61"/>
      <c r="G50" s="61"/>
      <c r="H50" s="62"/>
    </row>
    <row r="51" ht="15.75" customHeight="1">
      <c r="A51" s="120"/>
      <c r="H51" s="121"/>
    </row>
    <row r="52" ht="15.75" customHeight="1">
      <c r="A52" s="63"/>
      <c r="B52" s="64"/>
      <c r="C52" s="64"/>
      <c r="D52" s="64"/>
      <c r="E52" s="64"/>
      <c r="F52" s="64"/>
      <c r="G52" s="64"/>
      <c r="H52" s="65"/>
    </row>
    <row r="53" ht="15.75" customHeight="1">
      <c r="A53" s="118" t="s">
        <v>345</v>
      </c>
      <c r="B53" s="35"/>
      <c r="C53" s="35"/>
      <c r="D53" s="35"/>
      <c r="E53" s="35"/>
      <c r="F53" s="35"/>
      <c r="G53" s="35"/>
      <c r="H53" s="36"/>
    </row>
    <row r="54" ht="15.75" customHeight="1">
      <c r="A54" s="129"/>
      <c r="B54" s="61"/>
      <c r="C54" s="61"/>
      <c r="D54" s="61"/>
      <c r="E54" s="61"/>
      <c r="F54" s="61"/>
      <c r="G54" s="61"/>
      <c r="H54" s="62"/>
    </row>
    <row r="55" ht="15.75" customHeight="1">
      <c r="A55" s="120"/>
      <c r="H55" s="121"/>
    </row>
    <row r="56" ht="15.75" customHeight="1">
      <c r="A56" s="120"/>
      <c r="H56" s="121"/>
    </row>
    <row r="57" ht="15.75" customHeight="1">
      <c r="A57" s="63"/>
      <c r="B57" s="64"/>
      <c r="C57" s="64"/>
      <c r="D57" s="64"/>
      <c r="E57" s="64"/>
      <c r="F57" s="64"/>
      <c r="G57" s="64"/>
      <c r="H57" s="65"/>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50:H52"/>
    <mergeCell ref="A53:H53"/>
    <mergeCell ref="A54:H57"/>
    <mergeCell ref="A37:H40"/>
    <mergeCell ref="A43:D43"/>
    <mergeCell ref="B45:H45"/>
    <mergeCell ref="B46:H46"/>
    <mergeCell ref="B47:H47"/>
    <mergeCell ref="B48:H48"/>
    <mergeCell ref="A49:H49"/>
  </mergeCells>
  <dataValidations>
    <dataValidation type="list" allowBlank="1" showErrorMessage="1" sqref="B11:B13 B28:B30 B45:B47">
      <formula1>Metadata!$B$2:$B$40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36" t="s">
        <v>353</v>
      </c>
    </row>
    <row r="3" ht="15.75" customHeight="1"/>
    <row r="4" ht="15.75" customHeight="1">
      <c r="B4" s="83" t="s">
        <v>1</v>
      </c>
      <c r="C4" s="84" t="str">
        <f>'Diseño'!C4</f>
        <v>667 - Programacion Comercial 1</v>
      </c>
      <c r="D4" s="35"/>
      <c r="E4" s="35"/>
      <c r="F4" s="35"/>
      <c r="G4" s="36"/>
    </row>
    <row r="5" ht="15.75" customHeight="1">
      <c r="B5" s="101" t="s">
        <v>175</v>
      </c>
      <c r="C5" s="84">
        <f>H9+H26+H43+H60+H77+H94+H111</f>
        <v>0</v>
      </c>
      <c r="D5" s="35"/>
      <c r="E5" s="35"/>
      <c r="F5" s="35"/>
      <c r="G5" s="36"/>
    </row>
    <row r="6" ht="15.75" customHeight="1">
      <c r="B6" s="101" t="s">
        <v>217</v>
      </c>
      <c r="C6" s="84">
        <f>F9+F26+F43+F60+F77+F94+F111</f>
        <v>0</v>
      </c>
      <c r="D6" s="35"/>
      <c r="E6" s="35"/>
      <c r="F6" s="35"/>
      <c r="G6" s="36"/>
    </row>
    <row r="7" ht="15.75" customHeight="1">
      <c r="B7" s="58" t="s">
        <v>354</v>
      </c>
    </row>
    <row r="8" ht="15.75" customHeight="1"/>
    <row r="9" ht="15.75" customHeight="1">
      <c r="A9" s="103" t="s">
        <v>355</v>
      </c>
      <c r="E9" s="98" t="s">
        <v>217</v>
      </c>
      <c r="F9" s="104"/>
      <c r="G9" s="98" t="s">
        <v>340</v>
      </c>
      <c r="H9" s="104"/>
    </row>
    <row r="10" ht="15.75" customHeight="1">
      <c r="A10" s="58" t="s">
        <v>356</v>
      </c>
    </row>
    <row r="11" ht="15.75" customHeight="1">
      <c r="A11" s="126" t="s">
        <v>229</v>
      </c>
      <c r="B11" s="84"/>
      <c r="C11" s="35"/>
      <c r="D11" s="35"/>
      <c r="E11" s="35"/>
      <c r="F11" s="35"/>
      <c r="G11" s="35"/>
      <c r="H11" s="36"/>
    </row>
    <row r="12" ht="15.75" customHeight="1">
      <c r="A12" s="126" t="s">
        <v>229</v>
      </c>
      <c r="B12" s="84"/>
      <c r="C12" s="35"/>
      <c r="D12" s="35"/>
      <c r="E12" s="35"/>
      <c r="F12" s="35"/>
      <c r="G12" s="35"/>
      <c r="H12" s="36"/>
    </row>
    <row r="13" ht="15.75" customHeight="1">
      <c r="A13" s="126" t="s">
        <v>229</v>
      </c>
      <c r="B13" s="84"/>
      <c r="C13" s="35"/>
      <c r="D13" s="35"/>
      <c r="E13" s="35"/>
      <c r="F13" s="35"/>
      <c r="G13" s="35"/>
      <c r="H13" s="36"/>
    </row>
    <row r="14" ht="15.75" customHeight="1">
      <c r="A14" s="126" t="s">
        <v>341</v>
      </c>
      <c r="B14" s="84"/>
      <c r="C14" s="35"/>
      <c r="D14" s="35"/>
      <c r="E14" s="35"/>
      <c r="F14" s="35"/>
      <c r="G14" s="35"/>
      <c r="H14" s="36"/>
    </row>
    <row r="15" ht="15.75" customHeight="1">
      <c r="A15" s="118" t="s">
        <v>343</v>
      </c>
      <c r="B15" s="35"/>
      <c r="C15" s="35"/>
      <c r="D15" s="35"/>
      <c r="E15" s="35"/>
      <c r="F15" s="35"/>
      <c r="G15" s="35"/>
      <c r="H15" s="36"/>
    </row>
    <row r="16" ht="15.75" customHeight="1">
      <c r="A16" s="129"/>
      <c r="B16" s="61"/>
      <c r="C16" s="61"/>
      <c r="D16" s="61"/>
      <c r="E16" s="61"/>
      <c r="F16" s="61"/>
      <c r="G16" s="61"/>
      <c r="H16" s="62"/>
    </row>
    <row r="17" ht="15.75" customHeight="1">
      <c r="A17" s="120"/>
      <c r="H17" s="121"/>
    </row>
    <row r="18" ht="15.75" customHeight="1">
      <c r="A18" s="63"/>
      <c r="B18" s="64"/>
      <c r="C18" s="64"/>
      <c r="D18" s="64"/>
      <c r="E18" s="64"/>
      <c r="F18" s="64"/>
      <c r="G18" s="64"/>
      <c r="H18" s="65"/>
    </row>
    <row r="19" ht="15.75" customHeight="1">
      <c r="A19" s="118" t="s">
        <v>345</v>
      </c>
      <c r="B19" s="35"/>
      <c r="C19" s="35"/>
      <c r="D19" s="35"/>
      <c r="E19" s="35"/>
      <c r="F19" s="35"/>
      <c r="G19" s="35"/>
      <c r="H19" s="36"/>
    </row>
    <row r="20" ht="15.75" customHeight="1">
      <c r="A20" s="129"/>
      <c r="B20" s="61"/>
      <c r="C20" s="61"/>
      <c r="D20" s="61"/>
      <c r="E20" s="61"/>
      <c r="F20" s="61"/>
      <c r="G20" s="61"/>
      <c r="H20" s="62"/>
    </row>
    <row r="21" ht="15.75" customHeight="1">
      <c r="A21" s="120"/>
      <c r="H21" s="121"/>
    </row>
    <row r="22" ht="15.75" customHeight="1">
      <c r="A22" s="120"/>
      <c r="H22" s="121"/>
    </row>
    <row r="23" ht="15.75" customHeight="1">
      <c r="A23" s="63"/>
      <c r="B23" s="64"/>
      <c r="C23" s="64"/>
      <c r="D23" s="64"/>
      <c r="E23" s="64"/>
      <c r="F23" s="64"/>
      <c r="G23" s="64"/>
      <c r="H23" s="65"/>
    </row>
    <row r="24" ht="15.75" customHeight="1"/>
    <row r="25" ht="15.75" customHeight="1"/>
    <row r="26" ht="15.75" customHeight="1">
      <c r="A26" s="103" t="s">
        <v>357</v>
      </c>
      <c r="E26" s="98" t="s">
        <v>217</v>
      </c>
      <c r="F26" s="104"/>
      <c r="G26" s="98" t="s">
        <v>340</v>
      </c>
      <c r="H26" s="104"/>
    </row>
    <row r="27" ht="15.75" customHeight="1">
      <c r="A27" s="117" t="s">
        <v>352</v>
      </c>
    </row>
    <row r="28" ht="15.75" customHeight="1">
      <c r="A28" s="126" t="s">
        <v>229</v>
      </c>
      <c r="B28" s="84"/>
      <c r="C28" s="35"/>
      <c r="D28" s="35"/>
      <c r="E28" s="35"/>
      <c r="F28" s="35"/>
      <c r="G28" s="35"/>
      <c r="H28" s="36"/>
    </row>
    <row r="29" ht="15.75" customHeight="1">
      <c r="A29" s="126" t="s">
        <v>229</v>
      </c>
      <c r="B29" s="84"/>
      <c r="C29" s="35"/>
      <c r="D29" s="35"/>
      <c r="E29" s="35"/>
      <c r="F29" s="35"/>
      <c r="G29" s="35"/>
      <c r="H29" s="36"/>
    </row>
    <row r="30" ht="15.75" customHeight="1">
      <c r="A30" s="126" t="s">
        <v>229</v>
      </c>
      <c r="B30" s="84"/>
      <c r="C30" s="35"/>
      <c r="D30" s="35"/>
      <c r="E30" s="35"/>
      <c r="F30" s="35"/>
      <c r="G30" s="35"/>
      <c r="H30" s="36"/>
    </row>
    <row r="31" ht="15.75" customHeight="1">
      <c r="A31" s="126" t="s">
        <v>341</v>
      </c>
      <c r="B31" s="84"/>
      <c r="C31" s="35"/>
      <c r="D31" s="35"/>
      <c r="E31" s="35"/>
      <c r="F31" s="35"/>
      <c r="G31" s="35"/>
      <c r="H31" s="36"/>
    </row>
    <row r="32" ht="15.75" customHeight="1">
      <c r="A32" s="118" t="s">
        <v>343</v>
      </c>
      <c r="B32" s="35"/>
      <c r="C32" s="35"/>
      <c r="D32" s="35"/>
      <c r="E32" s="35"/>
      <c r="F32" s="35"/>
      <c r="G32" s="35"/>
      <c r="H32" s="36"/>
    </row>
    <row r="33" ht="15.75" customHeight="1">
      <c r="A33" s="129"/>
      <c r="B33" s="61"/>
      <c r="C33" s="61"/>
      <c r="D33" s="61"/>
      <c r="E33" s="61"/>
      <c r="F33" s="61"/>
      <c r="G33" s="61"/>
      <c r="H33" s="62"/>
    </row>
    <row r="34" ht="15.75" customHeight="1">
      <c r="A34" s="120"/>
      <c r="H34" s="121"/>
    </row>
    <row r="35" ht="15.75" customHeight="1">
      <c r="A35" s="63"/>
      <c r="B35" s="64"/>
      <c r="C35" s="64"/>
      <c r="D35" s="64"/>
      <c r="E35" s="64"/>
      <c r="F35" s="64"/>
      <c r="G35" s="64"/>
      <c r="H35" s="65"/>
    </row>
    <row r="36" ht="15.75" customHeight="1">
      <c r="A36" s="118" t="s">
        <v>345</v>
      </c>
      <c r="B36" s="35"/>
      <c r="C36" s="35"/>
      <c r="D36" s="35"/>
      <c r="E36" s="35"/>
      <c r="F36" s="35"/>
      <c r="G36" s="35"/>
      <c r="H36" s="36"/>
    </row>
    <row r="37" ht="15.75" customHeight="1">
      <c r="A37" s="129"/>
      <c r="B37" s="61"/>
      <c r="C37" s="61"/>
      <c r="D37" s="61"/>
      <c r="E37" s="61"/>
      <c r="F37" s="61"/>
      <c r="G37" s="61"/>
      <c r="H37" s="62"/>
    </row>
    <row r="38" ht="15.75" customHeight="1">
      <c r="A38" s="120"/>
      <c r="H38" s="121"/>
    </row>
    <row r="39" ht="15.75" customHeight="1">
      <c r="A39" s="120"/>
      <c r="H39" s="121"/>
    </row>
    <row r="40" ht="15.75" customHeight="1">
      <c r="A40" s="63"/>
      <c r="B40" s="64"/>
      <c r="C40" s="64"/>
      <c r="D40" s="64"/>
      <c r="E40" s="64"/>
      <c r="F40" s="64"/>
      <c r="G40" s="64"/>
      <c r="H40" s="65"/>
    </row>
    <row r="41" ht="15.75" customHeight="1"/>
    <row r="42" ht="15.75" customHeight="1"/>
    <row r="43" ht="15.75" customHeight="1">
      <c r="A43" s="103" t="s">
        <v>358</v>
      </c>
      <c r="E43" s="98" t="s">
        <v>217</v>
      </c>
      <c r="F43" s="104"/>
      <c r="G43" s="98" t="s">
        <v>340</v>
      </c>
      <c r="H43" s="104"/>
    </row>
    <row r="44" ht="15.75" customHeight="1">
      <c r="A44" s="117" t="s">
        <v>352</v>
      </c>
    </row>
    <row r="45" ht="15.75" customHeight="1">
      <c r="A45" s="126" t="s">
        <v>229</v>
      </c>
      <c r="B45" s="84"/>
      <c r="C45" s="35"/>
      <c r="D45" s="35"/>
      <c r="E45" s="35"/>
      <c r="F45" s="35"/>
      <c r="G45" s="35"/>
      <c r="H45" s="36"/>
    </row>
    <row r="46" ht="15.75" customHeight="1">
      <c r="A46" s="126" t="s">
        <v>229</v>
      </c>
      <c r="B46" s="84"/>
      <c r="C46" s="35"/>
      <c r="D46" s="35"/>
      <c r="E46" s="35"/>
      <c r="F46" s="35"/>
      <c r="G46" s="35"/>
      <c r="H46" s="36"/>
    </row>
    <row r="47" ht="15.75" customHeight="1">
      <c r="A47" s="126" t="s">
        <v>229</v>
      </c>
      <c r="B47" s="84"/>
      <c r="C47" s="35"/>
      <c r="D47" s="35"/>
      <c r="E47" s="35"/>
      <c r="F47" s="35"/>
      <c r="G47" s="35"/>
      <c r="H47" s="36"/>
    </row>
    <row r="48" ht="15.75" customHeight="1">
      <c r="A48" s="126" t="s">
        <v>341</v>
      </c>
      <c r="B48" s="84"/>
      <c r="C48" s="35"/>
      <c r="D48" s="35"/>
      <c r="E48" s="35"/>
      <c r="F48" s="35"/>
      <c r="G48" s="35"/>
      <c r="H48" s="36"/>
    </row>
    <row r="49" ht="15.75" customHeight="1">
      <c r="A49" s="118" t="s">
        <v>343</v>
      </c>
      <c r="B49" s="35"/>
      <c r="C49" s="35"/>
      <c r="D49" s="35"/>
      <c r="E49" s="35"/>
      <c r="F49" s="35"/>
      <c r="G49" s="35"/>
      <c r="H49" s="36"/>
    </row>
    <row r="50" ht="15.75" customHeight="1">
      <c r="A50" s="129"/>
      <c r="B50" s="61"/>
      <c r="C50" s="61"/>
      <c r="D50" s="61"/>
      <c r="E50" s="61"/>
      <c r="F50" s="61"/>
      <c r="G50" s="61"/>
      <c r="H50" s="62"/>
    </row>
    <row r="51" ht="15.75" customHeight="1">
      <c r="A51" s="120"/>
      <c r="H51" s="121"/>
    </row>
    <row r="52" ht="15.75" customHeight="1">
      <c r="A52" s="63"/>
      <c r="B52" s="64"/>
      <c r="C52" s="64"/>
      <c r="D52" s="64"/>
      <c r="E52" s="64"/>
      <c r="F52" s="64"/>
      <c r="G52" s="64"/>
      <c r="H52" s="65"/>
    </row>
    <row r="53" ht="15.75" customHeight="1">
      <c r="A53" s="118" t="s">
        <v>345</v>
      </c>
      <c r="B53" s="35"/>
      <c r="C53" s="35"/>
      <c r="D53" s="35"/>
      <c r="E53" s="35"/>
      <c r="F53" s="35"/>
      <c r="G53" s="35"/>
      <c r="H53" s="36"/>
    </row>
    <row r="54" ht="15.75" customHeight="1">
      <c r="A54" s="129"/>
      <c r="B54" s="61"/>
      <c r="C54" s="61"/>
      <c r="D54" s="61"/>
      <c r="E54" s="61"/>
      <c r="F54" s="61"/>
      <c r="G54" s="61"/>
      <c r="H54" s="62"/>
    </row>
    <row r="55" ht="15.75" customHeight="1">
      <c r="A55" s="120"/>
      <c r="H55" s="121"/>
    </row>
    <row r="56" ht="15.75" customHeight="1">
      <c r="A56" s="120"/>
      <c r="H56" s="121"/>
    </row>
    <row r="57" ht="15.75" customHeight="1">
      <c r="A57" s="63"/>
      <c r="B57" s="64"/>
      <c r="C57" s="64"/>
      <c r="D57" s="64"/>
      <c r="E57" s="64"/>
      <c r="F57" s="64"/>
      <c r="G57" s="64"/>
      <c r="H57" s="65"/>
    </row>
    <row r="58" ht="15.75" customHeight="1"/>
    <row r="59" ht="15.75" customHeight="1"/>
    <row r="60" ht="15.75" customHeight="1">
      <c r="A60" s="103" t="s">
        <v>359</v>
      </c>
      <c r="E60" s="98" t="s">
        <v>217</v>
      </c>
      <c r="F60" s="104"/>
      <c r="G60" s="98" t="s">
        <v>340</v>
      </c>
      <c r="H60" s="104"/>
    </row>
    <row r="61" ht="15.75" customHeight="1">
      <c r="A61" s="117" t="s">
        <v>352</v>
      </c>
    </row>
    <row r="62" ht="15.75" customHeight="1">
      <c r="A62" s="126" t="s">
        <v>229</v>
      </c>
      <c r="B62" s="84"/>
      <c r="C62" s="35"/>
      <c r="D62" s="35"/>
      <c r="E62" s="35"/>
      <c r="F62" s="35"/>
      <c r="G62" s="35"/>
      <c r="H62" s="36"/>
    </row>
    <row r="63" ht="15.75" customHeight="1">
      <c r="A63" s="126" t="s">
        <v>229</v>
      </c>
      <c r="B63" s="84"/>
      <c r="C63" s="35"/>
      <c r="D63" s="35"/>
      <c r="E63" s="35"/>
      <c r="F63" s="35"/>
      <c r="G63" s="35"/>
      <c r="H63" s="36"/>
    </row>
    <row r="64" ht="15.75" customHeight="1">
      <c r="A64" s="126" t="s">
        <v>229</v>
      </c>
      <c r="B64" s="84"/>
      <c r="C64" s="35"/>
      <c r="D64" s="35"/>
      <c r="E64" s="35"/>
      <c r="F64" s="35"/>
      <c r="G64" s="35"/>
      <c r="H64" s="36"/>
    </row>
    <row r="65" ht="15.75" customHeight="1">
      <c r="A65" s="126" t="s">
        <v>341</v>
      </c>
      <c r="B65" s="84"/>
      <c r="C65" s="35"/>
      <c r="D65" s="35"/>
      <c r="E65" s="35"/>
      <c r="F65" s="35"/>
      <c r="G65" s="35"/>
      <c r="H65" s="36"/>
    </row>
    <row r="66" ht="15.75" customHeight="1">
      <c r="A66" s="118" t="s">
        <v>343</v>
      </c>
      <c r="B66" s="35"/>
      <c r="C66" s="35"/>
      <c r="D66" s="35"/>
      <c r="E66" s="35"/>
      <c r="F66" s="35"/>
      <c r="G66" s="35"/>
      <c r="H66" s="36"/>
    </row>
    <row r="67" ht="15.75" customHeight="1">
      <c r="A67" s="129"/>
      <c r="B67" s="61"/>
      <c r="C67" s="61"/>
      <c r="D67" s="61"/>
      <c r="E67" s="61"/>
      <c r="F67" s="61"/>
      <c r="G67" s="61"/>
      <c r="H67" s="62"/>
    </row>
    <row r="68" ht="15.75" customHeight="1">
      <c r="A68" s="120"/>
      <c r="H68" s="121"/>
    </row>
    <row r="69" ht="15.75" customHeight="1">
      <c r="A69" s="63"/>
      <c r="B69" s="64"/>
      <c r="C69" s="64"/>
      <c r="D69" s="64"/>
      <c r="E69" s="64"/>
      <c r="F69" s="64"/>
      <c r="G69" s="64"/>
      <c r="H69" s="65"/>
    </row>
    <row r="70" ht="15.75" customHeight="1">
      <c r="A70" s="118" t="s">
        <v>345</v>
      </c>
      <c r="B70" s="35"/>
      <c r="C70" s="35"/>
      <c r="D70" s="35"/>
      <c r="E70" s="35"/>
      <c r="F70" s="35"/>
      <c r="G70" s="35"/>
      <c r="H70" s="36"/>
    </row>
    <row r="71" ht="15.75" customHeight="1">
      <c r="A71" s="129"/>
      <c r="B71" s="61"/>
      <c r="C71" s="61"/>
      <c r="D71" s="61"/>
      <c r="E71" s="61"/>
      <c r="F71" s="61"/>
      <c r="G71" s="61"/>
      <c r="H71" s="62"/>
    </row>
    <row r="72" ht="15.75" customHeight="1">
      <c r="A72" s="120"/>
      <c r="H72" s="121"/>
    </row>
    <row r="73" ht="15.75" customHeight="1">
      <c r="A73" s="120"/>
      <c r="H73" s="121"/>
    </row>
    <row r="74" ht="15.75" customHeight="1">
      <c r="A74" s="63"/>
      <c r="B74" s="64"/>
      <c r="C74" s="64"/>
      <c r="D74" s="64"/>
      <c r="E74" s="64"/>
      <c r="F74" s="64"/>
      <c r="G74" s="64"/>
      <c r="H74" s="65"/>
    </row>
    <row r="75" ht="15.75" customHeight="1"/>
    <row r="76" ht="15.75" customHeight="1"/>
    <row r="77" ht="15.75" customHeight="1">
      <c r="A77" s="103" t="s">
        <v>360</v>
      </c>
      <c r="E77" s="98" t="s">
        <v>217</v>
      </c>
      <c r="F77" s="104"/>
      <c r="G77" s="98" t="s">
        <v>340</v>
      </c>
      <c r="H77" s="104"/>
    </row>
    <row r="78" ht="15.75" customHeight="1">
      <c r="A78" s="117" t="s">
        <v>352</v>
      </c>
    </row>
    <row r="79" ht="15.75" customHeight="1">
      <c r="A79" s="126" t="s">
        <v>229</v>
      </c>
      <c r="B79" s="84"/>
      <c r="C79" s="35"/>
      <c r="D79" s="35"/>
      <c r="E79" s="35"/>
      <c r="F79" s="35"/>
      <c r="G79" s="35"/>
      <c r="H79" s="36"/>
    </row>
    <row r="80" ht="15.75" customHeight="1">
      <c r="A80" s="126" t="s">
        <v>229</v>
      </c>
      <c r="B80" s="84"/>
      <c r="C80" s="35"/>
      <c r="D80" s="35"/>
      <c r="E80" s="35"/>
      <c r="F80" s="35"/>
      <c r="G80" s="35"/>
      <c r="H80" s="36"/>
    </row>
    <row r="81" ht="15.75" customHeight="1">
      <c r="A81" s="126" t="s">
        <v>229</v>
      </c>
      <c r="B81" s="84"/>
      <c r="C81" s="35"/>
      <c r="D81" s="35"/>
      <c r="E81" s="35"/>
      <c r="F81" s="35"/>
      <c r="G81" s="35"/>
      <c r="H81" s="36"/>
    </row>
    <row r="82" ht="15.75" customHeight="1">
      <c r="A82" s="126" t="s">
        <v>341</v>
      </c>
      <c r="B82" s="84"/>
      <c r="C82" s="35"/>
      <c r="D82" s="35"/>
      <c r="E82" s="35"/>
      <c r="F82" s="35"/>
      <c r="G82" s="35"/>
      <c r="H82" s="36"/>
    </row>
    <row r="83" ht="15.75" customHeight="1">
      <c r="A83" s="118" t="s">
        <v>343</v>
      </c>
      <c r="B83" s="35"/>
      <c r="C83" s="35"/>
      <c r="D83" s="35"/>
      <c r="E83" s="35"/>
      <c r="F83" s="35"/>
      <c r="G83" s="35"/>
      <c r="H83" s="36"/>
    </row>
    <row r="84" ht="15.75" customHeight="1">
      <c r="A84" s="129"/>
      <c r="B84" s="61"/>
      <c r="C84" s="61"/>
      <c r="D84" s="61"/>
      <c r="E84" s="61"/>
      <c r="F84" s="61"/>
      <c r="G84" s="61"/>
      <c r="H84" s="62"/>
    </row>
    <row r="85" ht="15.75" customHeight="1">
      <c r="A85" s="120"/>
      <c r="H85" s="121"/>
    </row>
    <row r="86" ht="15.75" customHeight="1">
      <c r="A86" s="63"/>
      <c r="B86" s="64"/>
      <c r="C86" s="64"/>
      <c r="D86" s="64"/>
      <c r="E86" s="64"/>
      <c r="F86" s="64"/>
      <c r="G86" s="64"/>
      <c r="H86" s="65"/>
    </row>
    <row r="87" ht="15.75" customHeight="1">
      <c r="A87" s="118" t="s">
        <v>345</v>
      </c>
      <c r="B87" s="35"/>
      <c r="C87" s="35"/>
      <c r="D87" s="35"/>
      <c r="E87" s="35"/>
      <c r="F87" s="35"/>
      <c r="G87" s="35"/>
      <c r="H87" s="36"/>
    </row>
    <row r="88" ht="15.75" customHeight="1">
      <c r="A88" s="129"/>
      <c r="B88" s="61"/>
      <c r="C88" s="61"/>
      <c r="D88" s="61"/>
      <c r="E88" s="61"/>
      <c r="F88" s="61"/>
      <c r="G88" s="61"/>
      <c r="H88" s="62"/>
    </row>
    <row r="89" ht="15.75" customHeight="1">
      <c r="A89" s="120"/>
      <c r="H89" s="121"/>
    </row>
    <row r="90" ht="15.75" customHeight="1">
      <c r="A90" s="120"/>
      <c r="H90" s="121"/>
    </row>
    <row r="91" ht="15.75" customHeight="1">
      <c r="A91" s="63"/>
      <c r="B91" s="64"/>
      <c r="C91" s="64"/>
      <c r="D91" s="64"/>
      <c r="E91" s="64"/>
      <c r="F91" s="64"/>
      <c r="G91" s="64"/>
      <c r="H91" s="65"/>
    </row>
    <row r="92" ht="15.75" customHeight="1"/>
    <row r="93" ht="15.75" customHeight="1"/>
    <row r="94" ht="15.75" customHeight="1">
      <c r="A94" s="103" t="s">
        <v>361</v>
      </c>
      <c r="E94" s="98" t="s">
        <v>217</v>
      </c>
      <c r="F94" s="104"/>
      <c r="G94" s="98" t="s">
        <v>340</v>
      </c>
      <c r="H94" s="104"/>
    </row>
    <row r="95" ht="15.75" customHeight="1">
      <c r="A95" s="117" t="s">
        <v>352</v>
      </c>
    </row>
    <row r="96" ht="15.75" customHeight="1">
      <c r="A96" s="126" t="s">
        <v>229</v>
      </c>
      <c r="B96" s="84"/>
      <c r="C96" s="35"/>
      <c r="D96" s="35"/>
      <c r="E96" s="35"/>
      <c r="F96" s="35"/>
      <c r="G96" s="35"/>
      <c r="H96" s="36"/>
    </row>
    <row r="97" ht="15.75" customHeight="1">
      <c r="A97" s="126" t="s">
        <v>229</v>
      </c>
      <c r="B97" s="84"/>
      <c r="C97" s="35"/>
      <c r="D97" s="35"/>
      <c r="E97" s="35"/>
      <c r="F97" s="35"/>
      <c r="G97" s="35"/>
      <c r="H97" s="36"/>
    </row>
    <row r="98" ht="15.75" customHeight="1">
      <c r="A98" s="126" t="s">
        <v>229</v>
      </c>
      <c r="B98" s="84"/>
      <c r="C98" s="35"/>
      <c r="D98" s="35"/>
      <c r="E98" s="35"/>
      <c r="F98" s="35"/>
      <c r="G98" s="35"/>
      <c r="H98" s="36"/>
    </row>
    <row r="99" ht="15.75" customHeight="1">
      <c r="A99" s="126" t="s">
        <v>341</v>
      </c>
      <c r="B99" s="84"/>
      <c r="C99" s="35"/>
      <c r="D99" s="35"/>
      <c r="E99" s="35"/>
      <c r="F99" s="35"/>
      <c r="G99" s="35"/>
      <c r="H99" s="36"/>
    </row>
    <row r="100" ht="15.75" customHeight="1">
      <c r="A100" s="118" t="s">
        <v>343</v>
      </c>
      <c r="B100" s="35"/>
      <c r="C100" s="35"/>
      <c r="D100" s="35"/>
      <c r="E100" s="35"/>
      <c r="F100" s="35"/>
      <c r="G100" s="35"/>
      <c r="H100" s="36"/>
    </row>
    <row r="101" ht="15.75" customHeight="1">
      <c r="A101" s="129"/>
      <c r="B101" s="61"/>
      <c r="C101" s="61"/>
      <c r="D101" s="61"/>
      <c r="E101" s="61"/>
      <c r="F101" s="61"/>
      <c r="G101" s="61"/>
      <c r="H101" s="62"/>
    </row>
    <row r="102" ht="15.75" customHeight="1">
      <c r="A102" s="120"/>
      <c r="H102" s="121"/>
    </row>
    <row r="103" ht="15.75" customHeight="1">
      <c r="A103" s="63"/>
      <c r="B103" s="64"/>
      <c r="C103" s="64"/>
      <c r="D103" s="64"/>
      <c r="E103" s="64"/>
      <c r="F103" s="64"/>
      <c r="G103" s="64"/>
      <c r="H103" s="65"/>
    </row>
    <row r="104" ht="15.75" customHeight="1">
      <c r="A104" s="118" t="s">
        <v>345</v>
      </c>
      <c r="B104" s="35"/>
      <c r="C104" s="35"/>
      <c r="D104" s="35"/>
      <c r="E104" s="35"/>
      <c r="F104" s="35"/>
      <c r="G104" s="35"/>
      <c r="H104" s="36"/>
    </row>
    <row r="105" ht="15.75" customHeight="1">
      <c r="A105" s="129"/>
      <c r="B105" s="61"/>
      <c r="C105" s="61"/>
      <c r="D105" s="61"/>
      <c r="E105" s="61"/>
      <c r="F105" s="61"/>
      <c r="G105" s="61"/>
      <c r="H105" s="62"/>
    </row>
    <row r="106" ht="15.75" customHeight="1">
      <c r="A106" s="120"/>
      <c r="H106" s="121"/>
    </row>
    <row r="107" ht="15.75" customHeight="1">
      <c r="A107" s="120"/>
      <c r="H107" s="121"/>
    </row>
    <row r="108" ht="15.75" customHeight="1">
      <c r="A108" s="63"/>
      <c r="B108" s="64"/>
      <c r="C108" s="64"/>
      <c r="D108" s="64"/>
      <c r="E108" s="64"/>
      <c r="F108" s="64"/>
      <c r="G108" s="64"/>
      <c r="H108" s="65"/>
    </row>
    <row r="109" ht="15.75" customHeight="1"/>
    <row r="110" ht="15.75" customHeight="1"/>
    <row r="111" ht="15.75" customHeight="1">
      <c r="A111" s="103" t="s">
        <v>362</v>
      </c>
      <c r="E111" s="98" t="s">
        <v>217</v>
      </c>
      <c r="F111" s="104"/>
      <c r="G111" s="98" t="s">
        <v>340</v>
      </c>
      <c r="H111" s="104"/>
    </row>
    <row r="112" ht="15.75" customHeight="1">
      <c r="A112" s="117" t="s">
        <v>352</v>
      </c>
    </row>
    <row r="113" ht="15.75" customHeight="1">
      <c r="A113" s="126" t="s">
        <v>229</v>
      </c>
      <c r="B113" s="84"/>
      <c r="C113" s="35"/>
      <c r="D113" s="35"/>
      <c r="E113" s="35"/>
      <c r="F113" s="35"/>
      <c r="G113" s="35"/>
      <c r="H113" s="36"/>
    </row>
    <row r="114" ht="15.75" customHeight="1">
      <c r="A114" s="126" t="s">
        <v>229</v>
      </c>
      <c r="B114" s="84"/>
      <c r="C114" s="35"/>
      <c r="D114" s="35"/>
      <c r="E114" s="35"/>
      <c r="F114" s="35"/>
      <c r="G114" s="35"/>
      <c r="H114" s="36"/>
    </row>
    <row r="115" ht="15.75" customHeight="1">
      <c r="A115" s="126" t="s">
        <v>229</v>
      </c>
      <c r="B115" s="84"/>
      <c r="C115" s="35"/>
      <c r="D115" s="35"/>
      <c r="E115" s="35"/>
      <c r="F115" s="35"/>
      <c r="G115" s="35"/>
      <c r="H115" s="36"/>
    </row>
    <row r="116" ht="15.75" customHeight="1">
      <c r="A116" s="126" t="s">
        <v>341</v>
      </c>
      <c r="B116" s="84"/>
      <c r="C116" s="35"/>
      <c r="D116" s="35"/>
      <c r="E116" s="35"/>
      <c r="F116" s="35"/>
      <c r="G116" s="35"/>
      <c r="H116" s="36"/>
    </row>
    <row r="117" ht="15.75" customHeight="1">
      <c r="A117" s="118" t="s">
        <v>343</v>
      </c>
      <c r="B117" s="35"/>
      <c r="C117" s="35"/>
      <c r="D117" s="35"/>
      <c r="E117" s="35"/>
      <c r="F117" s="35"/>
      <c r="G117" s="35"/>
      <c r="H117" s="36"/>
    </row>
    <row r="118" ht="15.75" customHeight="1">
      <c r="A118" s="129"/>
      <c r="B118" s="61"/>
      <c r="C118" s="61"/>
      <c r="D118" s="61"/>
      <c r="E118" s="61"/>
      <c r="F118" s="61"/>
      <c r="G118" s="61"/>
      <c r="H118" s="62"/>
    </row>
    <row r="119" ht="15.75" customHeight="1">
      <c r="A119" s="120"/>
      <c r="H119" s="121"/>
    </row>
    <row r="120" ht="15.75" customHeight="1">
      <c r="A120" s="63"/>
      <c r="B120" s="64"/>
      <c r="C120" s="64"/>
      <c r="D120" s="64"/>
      <c r="E120" s="64"/>
      <c r="F120" s="64"/>
      <c r="G120" s="64"/>
      <c r="H120" s="65"/>
    </row>
    <row r="121" ht="15.75" customHeight="1">
      <c r="A121" s="118" t="s">
        <v>345</v>
      </c>
      <c r="B121" s="35"/>
      <c r="C121" s="35"/>
      <c r="D121" s="35"/>
      <c r="E121" s="35"/>
      <c r="F121" s="35"/>
      <c r="G121" s="35"/>
      <c r="H121" s="36"/>
    </row>
    <row r="122" ht="15.75" customHeight="1">
      <c r="A122" s="129"/>
      <c r="B122" s="61"/>
      <c r="C122" s="61"/>
      <c r="D122" s="61"/>
      <c r="E122" s="61"/>
      <c r="F122" s="61"/>
      <c r="G122" s="61"/>
      <c r="H122" s="62"/>
    </row>
    <row r="123" ht="15.75" customHeight="1">
      <c r="A123" s="120"/>
      <c r="H123" s="121"/>
    </row>
    <row r="124" ht="15.75" customHeight="1">
      <c r="A124" s="120"/>
      <c r="H124" s="121"/>
    </row>
    <row r="125" ht="15.75" customHeight="1">
      <c r="A125" s="63"/>
      <c r="B125" s="64"/>
      <c r="C125" s="64"/>
      <c r="D125" s="64"/>
      <c r="E125" s="64"/>
      <c r="F125" s="64"/>
      <c r="G125" s="64"/>
      <c r="H125" s="65"/>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A94:D94"/>
    <mergeCell ref="B96:H96"/>
    <mergeCell ref="B97:H97"/>
    <mergeCell ref="B98:H98"/>
    <mergeCell ref="B99:H99"/>
    <mergeCell ref="A100:H100"/>
    <mergeCell ref="A101:H103"/>
    <mergeCell ref="A117:H117"/>
    <mergeCell ref="A118:H120"/>
    <mergeCell ref="A121:H121"/>
    <mergeCell ref="A122:H125"/>
    <mergeCell ref="A104:H104"/>
    <mergeCell ref="A105:H108"/>
    <mergeCell ref="A111:D111"/>
    <mergeCell ref="B113:H113"/>
    <mergeCell ref="B114:H114"/>
    <mergeCell ref="B115:H115"/>
    <mergeCell ref="B116:H116"/>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28:B30 B45:B47 B62:B64 B79:B81 B96:B98 B113:B115">
      <formula1>Metadata!$I$17:$I$40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36" t="s">
        <v>16</v>
      </c>
    </row>
    <row r="3" ht="15.75" customHeight="1"/>
    <row r="4" ht="15.75" customHeight="1">
      <c r="B4" s="83" t="s">
        <v>1</v>
      </c>
      <c r="C4" s="84" t="str">
        <f>'Diseño'!C4</f>
        <v>667 - Programacion Comercial 1</v>
      </c>
      <c r="D4" s="35"/>
      <c r="E4" s="35"/>
      <c r="F4" s="35"/>
      <c r="G4" s="36"/>
    </row>
    <row r="5" ht="15.75" customHeight="1">
      <c r="B5" s="101" t="s">
        <v>175</v>
      </c>
      <c r="C5" s="84">
        <f>H9+H26+H43+H60+H77+H94+H111+H128</f>
        <v>4</v>
      </c>
      <c r="D5" s="35"/>
      <c r="E5" s="35"/>
      <c r="F5" s="35"/>
      <c r="G5" s="36"/>
    </row>
    <row r="6" ht="15.75" customHeight="1">
      <c r="B6" s="101" t="s">
        <v>217</v>
      </c>
      <c r="C6" s="84">
        <f>F9+F26+F43+F60+F77+F94+F111+F128</f>
        <v>10</v>
      </c>
      <c r="D6" s="35"/>
      <c r="E6" s="35"/>
      <c r="F6" s="35"/>
      <c r="G6" s="36"/>
    </row>
    <row r="7" ht="15.75" customHeight="1">
      <c r="B7" s="58" t="s">
        <v>363</v>
      </c>
    </row>
    <row r="8" ht="15.75" customHeight="1"/>
    <row r="9" ht="15.75" customHeight="1">
      <c r="A9" s="103" t="s">
        <v>364</v>
      </c>
      <c r="E9" s="98" t="s">
        <v>217</v>
      </c>
      <c r="F9" s="109">
        <v>2.5</v>
      </c>
      <c r="G9" s="98" t="s">
        <v>340</v>
      </c>
      <c r="H9" s="109">
        <v>1.0</v>
      </c>
    </row>
    <row r="10" ht="15.75" customHeight="1">
      <c r="A10" s="58" t="s">
        <v>365</v>
      </c>
    </row>
    <row r="11" ht="15.75" customHeight="1">
      <c r="A11" s="126" t="s">
        <v>229</v>
      </c>
      <c r="B11" s="94" t="s">
        <v>142</v>
      </c>
      <c r="C11" s="35"/>
      <c r="D11" s="35"/>
      <c r="E11" s="35"/>
      <c r="F11" s="35"/>
      <c r="G11" s="35"/>
      <c r="H11" s="36"/>
    </row>
    <row r="12" ht="15.75" customHeight="1">
      <c r="A12" s="126" t="s">
        <v>229</v>
      </c>
      <c r="B12" s="84"/>
      <c r="C12" s="35"/>
      <c r="D12" s="35"/>
      <c r="E12" s="35"/>
      <c r="F12" s="35"/>
      <c r="G12" s="35"/>
      <c r="H12" s="36"/>
    </row>
    <row r="13" ht="15.75" customHeight="1">
      <c r="A13" s="126" t="s">
        <v>229</v>
      </c>
      <c r="B13" s="84"/>
      <c r="C13" s="35"/>
      <c r="D13" s="35"/>
      <c r="E13" s="35"/>
      <c r="F13" s="35"/>
      <c r="G13" s="35"/>
      <c r="H13" s="36"/>
    </row>
    <row r="14" ht="15.75" customHeight="1">
      <c r="A14" s="126" t="s">
        <v>341</v>
      </c>
      <c r="B14" s="84"/>
      <c r="C14" s="35"/>
      <c r="D14" s="35"/>
      <c r="E14" s="35"/>
      <c r="F14" s="35"/>
      <c r="G14" s="35"/>
      <c r="H14" s="36"/>
    </row>
    <row r="15" ht="15.75" customHeight="1">
      <c r="A15" s="118" t="s">
        <v>343</v>
      </c>
      <c r="B15" s="35"/>
      <c r="C15" s="35"/>
      <c r="D15" s="35"/>
      <c r="E15" s="35"/>
      <c r="F15" s="35"/>
      <c r="G15" s="35"/>
      <c r="H15" s="36"/>
    </row>
    <row r="16" ht="15.75" customHeight="1">
      <c r="A16" s="119" t="s">
        <v>366</v>
      </c>
      <c r="B16" s="61"/>
      <c r="C16" s="61"/>
      <c r="D16" s="61"/>
      <c r="E16" s="61"/>
      <c r="F16" s="61"/>
      <c r="G16" s="61"/>
      <c r="H16" s="62"/>
    </row>
    <row r="17" ht="15.75" customHeight="1">
      <c r="A17" s="120"/>
      <c r="H17" s="121"/>
    </row>
    <row r="18" ht="15.75" customHeight="1">
      <c r="A18" s="63"/>
      <c r="B18" s="64"/>
      <c r="C18" s="64"/>
      <c r="D18" s="64"/>
      <c r="E18" s="64"/>
      <c r="F18" s="64"/>
      <c r="G18" s="64"/>
      <c r="H18" s="65"/>
    </row>
    <row r="19" ht="15.75" customHeight="1">
      <c r="A19" s="118" t="s">
        <v>367</v>
      </c>
      <c r="B19" s="35"/>
      <c r="C19" s="35"/>
      <c r="D19" s="35"/>
      <c r="E19" s="35"/>
      <c r="F19" s="35"/>
      <c r="G19" s="35"/>
      <c r="H19" s="36"/>
    </row>
    <row r="20" ht="15.75" customHeight="1">
      <c r="A20" s="138" t="s">
        <v>368</v>
      </c>
      <c r="B20" s="61"/>
      <c r="C20" s="61"/>
      <c r="D20" s="61"/>
      <c r="E20" s="61"/>
      <c r="F20" s="61"/>
      <c r="G20" s="61"/>
      <c r="H20" s="62"/>
    </row>
    <row r="21" ht="15.75" customHeight="1">
      <c r="A21" s="120"/>
      <c r="H21" s="121"/>
    </row>
    <row r="22" ht="15.75" customHeight="1">
      <c r="A22" s="120"/>
      <c r="H22" s="121"/>
    </row>
    <row r="23" ht="15.75" customHeight="1">
      <c r="A23" s="63"/>
      <c r="B23" s="64"/>
      <c r="C23" s="64"/>
      <c r="D23" s="64"/>
      <c r="E23" s="64"/>
      <c r="F23" s="64"/>
      <c r="G23" s="64"/>
      <c r="H23" s="65"/>
    </row>
    <row r="24" ht="15.75" customHeight="1">
      <c r="A24" s="103"/>
      <c r="B24" s="103"/>
      <c r="C24" s="103"/>
      <c r="D24" s="103"/>
      <c r="E24" s="98"/>
      <c r="F24" s="139"/>
      <c r="G24" s="98"/>
      <c r="H24" s="139"/>
    </row>
    <row r="25" ht="15.75" customHeight="1">
      <c r="A25" s="103"/>
      <c r="B25" s="103"/>
      <c r="C25" s="103"/>
      <c r="D25" s="103"/>
      <c r="E25" s="98"/>
      <c r="F25" s="139"/>
      <c r="G25" s="98"/>
      <c r="H25" s="139"/>
    </row>
    <row r="26" ht="15.75" customHeight="1">
      <c r="A26" s="103" t="s">
        <v>369</v>
      </c>
      <c r="E26" s="98" t="s">
        <v>217</v>
      </c>
      <c r="F26" s="109">
        <v>2.5</v>
      </c>
      <c r="G26" s="98" t="s">
        <v>340</v>
      </c>
      <c r="H26" s="109">
        <v>1.0</v>
      </c>
    </row>
    <row r="27" ht="15.75" customHeight="1">
      <c r="A27" s="58" t="s">
        <v>356</v>
      </c>
    </row>
    <row r="28" ht="15.75" customHeight="1">
      <c r="A28" s="126" t="s">
        <v>229</v>
      </c>
      <c r="B28" s="94" t="s">
        <v>80</v>
      </c>
      <c r="C28" s="35"/>
      <c r="D28" s="35"/>
      <c r="E28" s="35"/>
      <c r="F28" s="35"/>
      <c r="G28" s="35"/>
      <c r="H28" s="36"/>
    </row>
    <row r="29" ht="15.75" customHeight="1">
      <c r="A29" s="126" t="s">
        <v>229</v>
      </c>
      <c r="B29" s="84"/>
      <c r="C29" s="35"/>
      <c r="D29" s="35"/>
      <c r="E29" s="35"/>
      <c r="F29" s="35"/>
      <c r="G29" s="35"/>
      <c r="H29" s="36"/>
    </row>
    <row r="30" ht="15.75" customHeight="1">
      <c r="A30" s="126" t="s">
        <v>229</v>
      </c>
      <c r="B30" s="84"/>
      <c r="C30" s="35"/>
      <c r="D30" s="35"/>
      <c r="E30" s="35"/>
      <c r="F30" s="35"/>
      <c r="G30" s="35"/>
      <c r="H30" s="36"/>
    </row>
    <row r="31" ht="15.75" customHeight="1">
      <c r="A31" s="126" t="s">
        <v>341</v>
      </c>
      <c r="B31" s="94" t="s">
        <v>86</v>
      </c>
      <c r="C31" s="35"/>
      <c r="D31" s="35"/>
      <c r="E31" s="35"/>
      <c r="F31" s="35"/>
      <c r="G31" s="35"/>
      <c r="H31" s="36"/>
    </row>
    <row r="32" ht="15.75" customHeight="1">
      <c r="A32" s="118" t="s">
        <v>343</v>
      </c>
      <c r="B32" s="35"/>
      <c r="C32" s="35"/>
      <c r="D32" s="35"/>
      <c r="E32" s="35"/>
      <c r="F32" s="35"/>
      <c r="G32" s="35"/>
      <c r="H32" s="36"/>
    </row>
    <row r="33" ht="15.75" customHeight="1">
      <c r="A33" s="119" t="s">
        <v>370</v>
      </c>
      <c r="B33" s="61"/>
      <c r="C33" s="61"/>
      <c r="D33" s="61"/>
      <c r="E33" s="61"/>
      <c r="F33" s="61"/>
      <c r="G33" s="61"/>
      <c r="H33" s="62"/>
    </row>
    <row r="34" ht="15.75" customHeight="1">
      <c r="A34" s="120"/>
      <c r="H34" s="121"/>
    </row>
    <row r="35" ht="15.75" customHeight="1">
      <c r="A35" s="63"/>
      <c r="B35" s="64"/>
      <c r="C35" s="64"/>
      <c r="D35" s="64"/>
      <c r="E35" s="64"/>
      <c r="F35" s="64"/>
      <c r="G35" s="64"/>
      <c r="H35" s="65"/>
    </row>
    <row r="36" ht="15.75" customHeight="1">
      <c r="A36" s="118" t="s">
        <v>345</v>
      </c>
      <c r="B36" s="35"/>
      <c r="C36" s="35"/>
      <c r="D36" s="35"/>
      <c r="E36" s="35"/>
      <c r="F36" s="35"/>
      <c r="G36" s="35"/>
      <c r="H36" s="36"/>
    </row>
    <row r="37" ht="15.75" customHeight="1">
      <c r="A37" s="119" t="s">
        <v>371</v>
      </c>
      <c r="B37" s="61"/>
      <c r="C37" s="61"/>
      <c r="D37" s="61"/>
      <c r="E37" s="61"/>
      <c r="F37" s="61"/>
      <c r="G37" s="61"/>
      <c r="H37" s="62"/>
    </row>
    <row r="38" ht="15.75" customHeight="1">
      <c r="A38" s="120"/>
      <c r="H38" s="121"/>
    </row>
    <row r="39" ht="15.75" customHeight="1">
      <c r="A39" s="120"/>
      <c r="H39" s="121"/>
    </row>
    <row r="40" ht="15.75" customHeight="1">
      <c r="A40" s="63"/>
      <c r="B40" s="64"/>
      <c r="C40" s="64"/>
      <c r="D40" s="64"/>
      <c r="E40" s="64"/>
      <c r="F40" s="64"/>
      <c r="G40" s="64"/>
      <c r="H40" s="65"/>
    </row>
    <row r="41" ht="15.75" customHeight="1"/>
    <row r="42" ht="15.75" customHeight="1"/>
    <row r="43" ht="15.75" customHeight="1">
      <c r="A43" s="103" t="s">
        <v>372</v>
      </c>
      <c r="E43" s="98" t="s">
        <v>217</v>
      </c>
      <c r="F43" s="109">
        <v>2.5</v>
      </c>
      <c r="G43" s="98" t="s">
        <v>340</v>
      </c>
      <c r="H43" s="109">
        <v>1.0</v>
      </c>
    </row>
    <row r="44" ht="15.75" customHeight="1">
      <c r="A44" s="58" t="s">
        <v>356</v>
      </c>
    </row>
    <row r="45" ht="15.75" customHeight="1">
      <c r="A45" s="126" t="s">
        <v>229</v>
      </c>
      <c r="B45" s="94" t="s">
        <v>80</v>
      </c>
      <c r="C45" s="35"/>
      <c r="D45" s="35"/>
      <c r="E45" s="35"/>
      <c r="F45" s="35"/>
      <c r="G45" s="35"/>
      <c r="H45" s="36"/>
    </row>
    <row r="46" ht="15.75" customHeight="1">
      <c r="A46" s="126" t="s">
        <v>229</v>
      </c>
      <c r="B46" s="94" t="s">
        <v>105</v>
      </c>
      <c r="C46" s="35"/>
      <c r="D46" s="35"/>
      <c r="E46" s="35"/>
      <c r="F46" s="35"/>
      <c r="G46" s="35"/>
      <c r="H46" s="36"/>
    </row>
    <row r="47" ht="15.75" customHeight="1">
      <c r="A47" s="126" t="s">
        <v>229</v>
      </c>
      <c r="B47" s="84"/>
      <c r="C47" s="35"/>
      <c r="D47" s="35"/>
      <c r="E47" s="35"/>
      <c r="F47" s="35"/>
      <c r="G47" s="35"/>
      <c r="H47" s="36"/>
    </row>
    <row r="48" ht="15.75" customHeight="1">
      <c r="A48" s="126" t="s">
        <v>341</v>
      </c>
      <c r="B48" s="94" t="s">
        <v>373</v>
      </c>
      <c r="C48" s="35"/>
      <c r="D48" s="35"/>
      <c r="E48" s="35"/>
      <c r="F48" s="35"/>
      <c r="G48" s="35"/>
      <c r="H48" s="36"/>
    </row>
    <row r="49" ht="15.75" customHeight="1">
      <c r="A49" s="118" t="s">
        <v>343</v>
      </c>
      <c r="B49" s="35"/>
      <c r="C49" s="35"/>
      <c r="D49" s="35"/>
      <c r="E49" s="35"/>
      <c r="F49" s="35"/>
      <c r="G49" s="35"/>
      <c r="H49" s="36"/>
    </row>
    <row r="50" ht="15.75" customHeight="1">
      <c r="A50" s="119" t="s">
        <v>374</v>
      </c>
      <c r="B50" s="61"/>
      <c r="C50" s="61"/>
      <c r="D50" s="61"/>
      <c r="E50" s="61"/>
      <c r="F50" s="61"/>
      <c r="G50" s="61"/>
      <c r="H50" s="62"/>
    </row>
    <row r="51" ht="15.75" customHeight="1">
      <c r="A51" s="120"/>
      <c r="H51" s="121"/>
    </row>
    <row r="52" ht="15.75" customHeight="1">
      <c r="A52" s="63"/>
      <c r="B52" s="64"/>
      <c r="C52" s="64"/>
      <c r="D52" s="64"/>
      <c r="E52" s="64"/>
      <c r="F52" s="64"/>
      <c r="G52" s="64"/>
      <c r="H52" s="65"/>
    </row>
    <row r="53" ht="15.75" customHeight="1">
      <c r="A53" s="118" t="s">
        <v>345</v>
      </c>
      <c r="B53" s="35"/>
      <c r="C53" s="35"/>
      <c r="D53" s="35"/>
      <c r="E53" s="35"/>
      <c r="F53" s="35"/>
      <c r="G53" s="35"/>
      <c r="H53" s="36"/>
    </row>
    <row r="54" ht="15.75" customHeight="1">
      <c r="A54" s="119" t="s">
        <v>375</v>
      </c>
      <c r="B54" s="61"/>
      <c r="C54" s="61"/>
      <c r="D54" s="61"/>
      <c r="E54" s="61"/>
      <c r="F54" s="61"/>
      <c r="G54" s="61"/>
      <c r="H54" s="62"/>
    </row>
    <row r="55" ht="15.75" customHeight="1">
      <c r="A55" s="120"/>
      <c r="H55" s="121"/>
    </row>
    <row r="56" ht="15.75" customHeight="1">
      <c r="A56" s="120"/>
      <c r="H56" s="121"/>
    </row>
    <row r="57" ht="15.75" customHeight="1">
      <c r="A57" s="63"/>
      <c r="B57" s="64"/>
      <c r="C57" s="64"/>
      <c r="D57" s="64"/>
      <c r="E57" s="64"/>
      <c r="F57" s="64"/>
      <c r="G57" s="64"/>
      <c r="H57" s="65"/>
    </row>
    <row r="58" ht="15.75" customHeight="1"/>
    <row r="59" ht="15.75" customHeight="1"/>
    <row r="60" ht="15.75" customHeight="1">
      <c r="A60" s="103" t="s">
        <v>376</v>
      </c>
      <c r="E60" s="98" t="s">
        <v>217</v>
      </c>
      <c r="F60" s="109">
        <v>2.5</v>
      </c>
      <c r="G60" s="98" t="s">
        <v>340</v>
      </c>
      <c r="H60" s="109">
        <v>1.0</v>
      </c>
    </row>
    <row r="61" ht="15.75" customHeight="1">
      <c r="A61" s="117" t="s">
        <v>352</v>
      </c>
    </row>
    <row r="62" ht="15.75" customHeight="1">
      <c r="A62" s="126" t="s">
        <v>229</v>
      </c>
      <c r="B62" s="94" t="s">
        <v>122</v>
      </c>
      <c r="C62" s="35"/>
      <c r="D62" s="35"/>
      <c r="E62" s="35"/>
      <c r="F62" s="35"/>
      <c r="G62" s="35"/>
      <c r="H62" s="36"/>
    </row>
    <row r="63" ht="15.75" customHeight="1">
      <c r="A63" s="126" t="s">
        <v>229</v>
      </c>
      <c r="B63" s="84"/>
      <c r="C63" s="35"/>
      <c r="D63" s="35"/>
      <c r="E63" s="35"/>
      <c r="F63" s="35"/>
      <c r="G63" s="35"/>
      <c r="H63" s="36"/>
    </row>
    <row r="64" ht="15.75" customHeight="1">
      <c r="A64" s="126" t="s">
        <v>229</v>
      </c>
      <c r="B64" s="84"/>
      <c r="C64" s="35"/>
      <c r="D64" s="35"/>
      <c r="E64" s="35"/>
      <c r="F64" s="35"/>
      <c r="G64" s="35"/>
      <c r="H64" s="36"/>
    </row>
    <row r="65" ht="15.75" customHeight="1">
      <c r="A65" s="126" t="s">
        <v>341</v>
      </c>
      <c r="B65" s="94" t="s">
        <v>377</v>
      </c>
      <c r="C65" s="35"/>
      <c r="D65" s="35"/>
      <c r="E65" s="35"/>
      <c r="F65" s="35"/>
      <c r="G65" s="35"/>
      <c r="H65" s="36"/>
    </row>
    <row r="66" ht="15.75" customHeight="1">
      <c r="A66" s="118" t="s">
        <v>343</v>
      </c>
      <c r="B66" s="35"/>
      <c r="C66" s="35"/>
      <c r="D66" s="35"/>
      <c r="E66" s="35"/>
      <c r="F66" s="35"/>
      <c r="G66" s="35"/>
      <c r="H66" s="36"/>
    </row>
    <row r="67" ht="15.75" customHeight="1">
      <c r="A67" s="119" t="s">
        <v>378</v>
      </c>
      <c r="B67" s="61"/>
      <c r="C67" s="61"/>
      <c r="D67" s="61"/>
      <c r="E67" s="61"/>
      <c r="F67" s="61"/>
      <c r="G67" s="61"/>
      <c r="H67" s="62"/>
    </row>
    <row r="68" ht="15.75" customHeight="1">
      <c r="A68" s="120"/>
      <c r="H68" s="121"/>
    </row>
    <row r="69" ht="15.75" customHeight="1">
      <c r="A69" s="63"/>
      <c r="B69" s="64"/>
      <c r="C69" s="64"/>
      <c r="D69" s="64"/>
      <c r="E69" s="64"/>
      <c r="F69" s="64"/>
      <c r="G69" s="64"/>
      <c r="H69" s="65"/>
    </row>
    <row r="70" ht="15.75" customHeight="1">
      <c r="A70" s="118" t="s">
        <v>345</v>
      </c>
      <c r="B70" s="35"/>
      <c r="C70" s="35"/>
      <c r="D70" s="35"/>
      <c r="E70" s="35"/>
      <c r="F70" s="35"/>
      <c r="G70" s="35"/>
      <c r="H70" s="36"/>
    </row>
    <row r="71" ht="15.75" customHeight="1">
      <c r="A71" s="119" t="s">
        <v>379</v>
      </c>
      <c r="B71" s="61"/>
      <c r="C71" s="61"/>
      <c r="D71" s="61"/>
      <c r="E71" s="61"/>
      <c r="F71" s="61"/>
      <c r="G71" s="61"/>
      <c r="H71" s="62"/>
    </row>
    <row r="72" ht="15.75" customHeight="1">
      <c r="A72" s="120"/>
      <c r="H72" s="121"/>
    </row>
    <row r="73" ht="15.75" customHeight="1">
      <c r="A73" s="120"/>
      <c r="H73" s="121"/>
    </row>
    <row r="74" ht="15.75" customHeight="1">
      <c r="A74" s="63"/>
      <c r="B74" s="64"/>
      <c r="C74" s="64"/>
      <c r="D74" s="64"/>
      <c r="E74" s="64"/>
      <c r="F74" s="64"/>
      <c r="G74" s="64"/>
      <c r="H74" s="65"/>
    </row>
    <row r="75" ht="15.75" customHeight="1"/>
    <row r="76" ht="15.75" customHeight="1"/>
    <row r="77" ht="15.75" customHeight="1">
      <c r="A77" s="103" t="s">
        <v>380</v>
      </c>
      <c r="E77" s="98" t="s">
        <v>217</v>
      </c>
      <c r="F77" s="104"/>
      <c r="G77" s="98" t="s">
        <v>340</v>
      </c>
      <c r="H77" s="104"/>
    </row>
    <row r="78" ht="15.75" customHeight="1">
      <c r="A78" s="117" t="s">
        <v>352</v>
      </c>
    </row>
    <row r="79" ht="15.75" customHeight="1">
      <c r="A79" s="126" t="s">
        <v>229</v>
      </c>
      <c r="B79" s="84"/>
      <c r="C79" s="35"/>
      <c r="D79" s="35"/>
      <c r="E79" s="35"/>
      <c r="F79" s="35"/>
      <c r="G79" s="35"/>
      <c r="H79" s="36"/>
    </row>
    <row r="80" ht="15.75" customHeight="1">
      <c r="A80" s="126" t="s">
        <v>229</v>
      </c>
      <c r="B80" s="84"/>
      <c r="C80" s="35"/>
      <c r="D80" s="35"/>
      <c r="E80" s="35"/>
      <c r="F80" s="35"/>
      <c r="G80" s="35"/>
      <c r="H80" s="36"/>
    </row>
    <row r="81" ht="15.75" customHeight="1">
      <c r="A81" s="126" t="s">
        <v>229</v>
      </c>
      <c r="B81" s="84"/>
      <c r="C81" s="35"/>
      <c r="D81" s="35"/>
      <c r="E81" s="35"/>
      <c r="F81" s="35"/>
      <c r="G81" s="35"/>
      <c r="H81" s="36"/>
    </row>
    <row r="82" ht="15.75" customHeight="1">
      <c r="A82" s="126" t="s">
        <v>341</v>
      </c>
      <c r="B82" s="84"/>
      <c r="C82" s="35"/>
      <c r="D82" s="35"/>
      <c r="E82" s="35"/>
      <c r="F82" s="35"/>
      <c r="G82" s="35"/>
      <c r="H82" s="36"/>
    </row>
    <row r="83" ht="15.75" customHeight="1">
      <c r="A83" s="118" t="s">
        <v>343</v>
      </c>
      <c r="B83" s="35"/>
      <c r="C83" s="35"/>
      <c r="D83" s="35"/>
      <c r="E83" s="35"/>
      <c r="F83" s="35"/>
      <c r="G83" s="35"/>
      <c r="H83" s="36"/>
    </row>
    <row r="84" ht="15.75" customHeight="1">
      <c r="A84" s="129"/>
      <c r="B84" s="61"/>
      <c r="C84" s="61"/>
      <c r="D84" s="61"/>
      <c r="E84" s="61"/>
      <c r="F84" s="61"/>
      <c r="G84" s="61"/>
      <c r="H84" s="62"/>
    </row>
    <row r="85" ht="15.75" customHeight="1">
      <c r="A85" s="120"/>
      <c r="H85" s="121"/>
    </row>
    <row r="86" ht="15.75" customHeight="1">
      <c r="A86" s="63"/>
      <c r="B86" s="64"/>
      <c r="C86" s="64"/>
      <c r="D86" s="64"/>
      <c r="E86" s="64"/>
      <c r="F86" s="64"/>
      <c r="G86" s="64"/>
      <c r="H86" s="65"/>
    </row>
    <row r="87" ht="15.75" customHeight="1">
      <c r="A87" s="118" t="s">
        <v>345</v>
      </c>
      <c r="B87" s="35"/>
      <c r="C87" s="35"/>
      <c r="D87" s="35"/>
      <c r="E87" s="35"/>
      <c r="F87" s="35"/>
      <c r="G87" s="35"/>
      <c r="H87" s="36"/>
    </row>
    <row r="88" ht="15.75" customHeight="1">
      <c r="A88" s="129"/>
      <c r="B88" s="61"/>
      <c r="C88" s="61"/>
      <c r="D88" s="61"/>
      <c r="E88" s="61"/>
      <c r="F88" s="61"/>
      <c r="G88" s="61"/>
      <c r="H88" s="62"/>
    </row>
    <row r="89" ht="15.75" customHeight="1">
      <c r="A89" s="120"/>
      <c r="H89" s="121"/>
    </row>
    <row r="90" ht="15.75" customHeight="1">
      <c r="A90" s="120"/>
      <c r="H90" s="121"/>
    </row>
    <row r="91" ht="15.75" customHeight="1">
      <c r="A91" s="63"/>
      <c r="B91" s="64"/>
      <c r="C91" s="64"/>
      <c r="D91" s="64"/>
      <c r="E91" s="64"/>
      <c r="F91" s="64"/>
      <c r="G91" s="64"/>
      <c r="H91" s="65"/>
    </row>
    <row r="92" ht="15.75" customHeight="1"/>
    <row r="93" ht="15.75" customHeight="1"/>
    <row r="94" ht="15.75" customHeight="1">
      <c r="A94" s="103" t="s">
        <v>381</v>
      </c>
      <c r="E94" s="98" t="s">
        <v>217</v>
      </c>
      <c r="F94" s="104"/>
      <c r="G94" s="98" t="s">
        <v>340</v>
      </c>
      <c r="H94" s="104"/>
    </row>
    <row r="95" ht="15.75" customHeight="1">
      <c r="A95" s="117" t="s">
        <v>352</v>
      </c>
    </row>
    <row r="96" ht="15.75" customHeight="1">
      <c r="A96" s="126" t="s">
        <v>229</v>
      </c>
      <c r="B96" s="84"/>
      <c r="C96" s="35"/>
      <c r="D96" s="35"/>
      <c r="E96" s="35"/>
      <c r="F96" s="35"/>
      <c r="G96" s="35"/>
      <c r="H96" s="36"/>
    </row>
    <row r="97" ht="15.75" customHeight="1">
      <c r="A97" s="126" t="s">
        <v>229</v>
      </c>
      <c r="B97" s="84"/>
      <c r="C97" s="35"/>
      <c r="D97" s="35"/>
      <c r="E97" s="35"/>
      <c r="F97" s="35"/>
      <c r="G97" s="35"/>
      <c r="H97" s="36"/>
    </row>
    <row r="98" ht="15.75" customHeight="1">
      <c r="A98" s="126" t="s">
        <v>229</v>
      </c>
      <c r="B98" s="84"/>
      <c r="C98" s="35"/>
      <c r="D98" s="35"/>
      <c r="E98" s="35"/>
      <c r="F98" s="35"/>
      <c r="G98" s="35"/>
      <c r="H98" s="36"/>
    </row>
    <row r="99" ht="15.75" customHeight="1">
      <c r="A99" s="126" t="s">
        <v>341</v>
      </c>
      <c r="B99" s="84"/>
      <c r="C99" s="35"/>
      <c r="D99" s="35"/>
      <c r="E99" s="35"/>
      <c r="F99" s="35"/>
      <c r="G99" s="35"/>
      <c r="H99" s="36"/>
    </row>
    <row r="100" ht="15.75" customHeight="1">
      <c r="A100" s="118" t="s">
        <v>343</v>
      </c>
      <c r="B100" s="35"/>
      <c r="C100" s="35"/>
      <c r="D100" s="35"/>
      <c r="E100" s="35"/>
      <c r="F100" s="35"/>
      <c r="G100" s="35"/>
      <c r="H100" s="36"/>
    </row>
    <row r="101" ht="15.75" customHeight="1">
      <c r="A101" s="129"/>
      <c r="B101" s="61"/>
      <c r="C101" s="61"/>
      <c r="D101" s="61"/>
      <c r="E101" s="61"/>
      <c r="F101" s="61"/>
      <c r="G101" s="61"/>
      <c r="H101" s="62"/>
    </row>
    <row r="102" ht="15.75" customHeight="1">
      <c r="A102" s="120"/>
      <c r="H102" s="121"/>
    </row>
    <row r="103" ht="15.75" customHeight="1">
      <c r="A103" s="63"/>
      <c r="B103" s="64"/>
      <c r="C103" s="64"/>
      <c r="D103" s="64"/>
      <c r="E103" s="64"/>
      <c r="F103" s="64"/>
      <c r="G103" s="64"/>
      <c r="H103" s="65"/>
    </row>
    <row r="104" ht="15.75" customHeight="1">
      <c r="A104" s="118" t="s">
        <v>345</v>
      </c>
      <c r="B104" s="35"/>
      <c r="C104" s="35"/>
      <c r="D104" s="35"/>
      <c r="E104" s="35"/>
      <c r="F104" s="35"/>
      <c r="G104" s="35"/>
      <c r="H104" s="36"/>
    </row>
    <row r="105" ht="15.75" customHeight="1">
      <c r="A105" s="129"/>
      <c r="B105" s="61"/>
      <c r="C105" s="61"/>
      <c r="D105" s="61"/>
      <c r="E105" s="61"/>
      <c r="F105" s="61"/>
      <c r="G105" s="61"/>
      <c r="H105" s="62"/>
    </row>
    <row r="106" ht="15.75" customHeight="1">
      <c r="A106" s="120"/>
      <c r="H106" s="121"/>
    </row>
    <row r="107" ht="15.75" customHeight="1">
      <c r="A107" s="120"/>
      <c r="H107" s="121"/>
    </row>
    <row r="108" ht="15.75" customHeight="1">
      <c r="A108" s="63"/>
      <c r="B108" s="64"/>
      <c r="C108" s="64"/>
      <c r="D108" s="64"/>
      <c r="E108" s="64"/>
      <c r="F108" s="64"/>
      <c r="G108" s="64"/>
      <c r="H108" s="65"/>
    </row>
    <row r="109" ht="15.75" customHeight="1"/>
    <row r="110" ht="15.75" customHeight="1"/>
    <row r="111" ht="15.75" customHeight="1">
      <c r="A111" s="103" t="s">
        <v>382</v>
      </c>
      <c r="E111" s="98" t="s">
        <v>217</v>
      </c>
      <c r="F111" s="104"/>
      <c r="G111" s="98" t="s">
        <v>340</v>
      </c>
      <c r="H111" s="104"/>
    </row>
    <row r="112" ht="15.75" customHeight="1">
      <c r="A112" s="117" t="s">
        <v>352</v>
      </c>
    </row>
    <row r="113" ht="15.75" customHeight="1">
      <c r="A113" s="126" t="s">
        <v>229</v>
      </c>
      <c r="B113" s="84"/>
      <c r="C113" s="35"/>
      <c r="D113" s="35"/>
      <c r="E113" s="35"/>
      <c r="F113" s="35"/>
      <c r="G113" s="35"/>
      <c r="H113" s="36"/>
    </row>
    <row r="114" ht="15.75" customHeight="1">
      <c r="A114" s="126" t="s">
        <v>229</v>
      </c>
      <c r="B114" s="84"/>
      <c r="C114" s="35"/>
      <c r="D114" s="35"/>
      <c r="E114" s="35"/>
      <c r="F114" s="35"/>
      <c r="G114" s="35"/>
      <c r="H114" s="36"/>
    </row>
    <row r="115" ht="15.75" customHeight="1">
      <c r="A115" s="126" t="s">
        <v>229</v>
      </c>
      <c r="B115" s="84"/>
      <c r="C115" s="35"/>
      <c r="D115" s="35"/>
      <c r="E115" s="35"/>
      <c r="F115" s="35"/>
      <c r="G115" s="35"/>
      <c r="H115" s="36"/>
    </row>
    <row r="116" ht="15.75" customHeight="1">
      <c r="A116" s="126" t="s">
        <v>341</v>
      </c>
      <c r="B116" s="84"/>
      <c r="C116" s="35"/>
      <c r="D116" s="35"/>
      <c r="E116" s="35"/>
      <c r="F116" s="35"/>
      <c r="G116" s="35"/>
      <c r="H116" s="36"/>
    </row>
    <row r="117" ht="15.75" customHeight="1">
      <c r="A117" s="118" t="s">
        <v>343</v>
      </c>
      <c r="B117" s="35"/>
      <c r="C117" s="35"/>
      <c r="D117" s="35"/>
      <c r="E117" s="35"/>
      <c r="F117" s="35"/>
      <c r="G117" s="35"/>
      <c r="H117" s="36"/>
    </row>
    <row r="118" ht="15.75" customHeight="1">
      <c r="A118" s="129"/>
      <c r="B118" s="61"/>
      <c r="C118" s="61"/>
      <c r="D118" s="61"/>
      <c r="E118" s="61"/>
      <c r="F118" s="61"/>
      <c r="G118" s="61"/>
      <c r="H118" s="62"/>
    </row>
    <row r="119" ht="15.75" customHeight="1">
      <c r="A119" s="120"/>
      <c r="H119" s="121"/>
    </row>
    <row r="120" ht="15.75" customHeight="1">
      <c r="A120" s="63"/>
      <c r="B120" s="64"/>
      <c r="C120" s="64"/>
      <c r="D120" s="64"/>
      <c r="E120" s="64"/>
      <c r="F120" s="64"/>
      <c r="G120" s="64"/>
      <c r="H120" s="65"/>
    </row>
    <row r="121" ht="15.75" customHeight="1">
      <c r="A121" s="118" t="s">
        <v>345</v>
      </c>
      <c r="B121" s="35"/>
      <c r="C121" s="35"/>
      <c r="D121" s="35"/>
      <c r="E121" s="35"/>
      <c r="F121" s="35"/>
      <c r="G121" s="35"/>
      <c r="H121" s="36"/>
    </row>
    <row r="122" ht="15.75" customHeight="1">
      <c r="A122" s="129"/>
      <c r="B122" s="61"/>
      <c r="C122" s="61"/>
      <c r="D122" s="61"/>
      <c r="E122" s="61"/>
      <c r="F122" s="61"/>
      <c r="G122" s="61"/>
      <c r="H122" s="62"/>
    </row>
    <row r="123" ht="15.75" customHeight="1">
      <c r="A123" s="120"/>
      <c r="H123" s="121"/>
    </row>
    <row r="124" ht="15.75" customHeight="1">
      <c r="A124" s="120"/>
      <c r="H124" s="121"/>
    </row>
    <row r="125" ht="15.75" customHeight="1">
      <c r="A125" s="63"/>
      <c r="B125" s="64"/>
      <c r="C125" s="64"/>
      <c r="D125" s="64"/>
      <c r="E125" s="64"/>
      <c r="F125" s="64"/>
      <c r="G125" s="64"/>
      <c r="H125" s="65"/>
    </row>
    <row r="126" ht="15.75" customHeight="1"/>
    <row r="127" ht="15.75" customHeight="1"/>
    <row r="128" ht="15.75" customHeight="1">
      <c r="A128" s="103" t="s">
        <v>383</v>
      </c>
      <c r="E128" s="98" t="s">
        <v>217</v>
      </c>
      <c r="F128" s="104"/>
      <c r="G128" s="98" t="s">
        <v>340</v>
      </c>
      <c r="H128" s="104"/>
    </row>
    <row r="129" ht="15.75" customHeight="1">
      <c r="A129" s="117" t="s">
        <v>352</v>
      </c>
    </row>
    <row r="130" ht="15.75" customHeight="1">
      <c r="A130" s="126" t="s">
        <v>229</v>
      </c>
      <c r="B130" s="84"/>
      <c r="C130" s="35"/>
      <c r="D130" s="35"/>
      <c r="E130" s="35"/>
      <c r="F130" s="35"/>
      <c r="G130" s="35"/>
      <c r="H130" s="36"/>
    </row>
    <row r="131" ht="15.75" customHeight="1">
      <c r="A131" s="126" t="s">
        <v>229</v>
      </c>
      <c r="B131" s="84"/>
      <c r="C131" s="35"/>
      <c r="D131" s="35"/>
      <c r="E131" s="35"/>
      <c r="F131" s="35"/>
      <c r="G131" s="35"/>
      <c r="H131" s="36"/>
    </row>
    <row r="132" ht="15.75" customHeight="1">
      <c r="A132" s="126" t="s">
        <v>229</v>
      </c>
      <c r="B132" s="84"/>
      <c r="C132" s="35"/>
      <c r="D132" s="35"/>
      <c r="E132" s="35"/>
      <c r="F132" s="35"/>
      <c r="G132" s="35"/>
      <c r="H132" s="36"/>
    </row>
    <row r="133" ht="15.75" customHeight="1">
      <c r="A133" s="126" t="s">
        <v>341</v>
      </c>
      <c r="B133" s="84"/>
      <c r="C133" s="35"/>
      <c r="D133" s="35"/>
      <c r="E133" s="35"/>
      <c r="F133" s="35"/>
      <c r="G133" s="35"/>
      <c r="H133" s="36"/>
    </row>
    <row r="134" ht="15.75" customHeight="1">
      <c r="A134" s="118" t="s">
        <v>343</v>
      </c>
      <c r="B134" s="35"/>
      <c r="C134" s="35"/>
      <c r="D134" s="35"/>
      <c r="E134" s="35"/>
      <c r="F134" s="35"/>
      <c r="G134" s="35"/>
      <c r="H134" s="36"/>
    </row>
    <row r="135" ht="15.75" customHeight="1">
      <c r="A135" s="129"/>
      <c r="B135" s="61"/>
      <c r="C135" s="61"/>
      <c r="D135" s="61"/>
      <c r="E135" s="61"/>
      <c r="F135" s="61"/>
      <c r="G135" s="61"/>
      <c r="H135" s="62"/>
    </row>
    <row r="136" ht="15.75" customHeight="1">
      <c r="A136" s="120"/>
      <c r="H136" s="121"/>
    </row>
    <row r="137" ht="15.75" customHeight="1">
      <c r="A137" s="63"/>
      <c r="B137" s="64"/>
      <c r="C137" s="64"/>
      <c r="D137" s="64"/>
      <c r="E137" s="64"/>
      <c r="F137" s="64"/>
      <c r="G137" s="64"/>
      <c r="H137" s="65"/>
    </row>
    <row r="138" ht="15.75" customHeight="1">
      <c r="A138" s="118" t="s">
        <v>345</v>
      </c>
      <c r="B138" s="35"/>
      <c r="C138" s="35"/>
      <c r="D138" s="35"/>
      <c r="E138" s="35"/>
      <c r="F138" s="35"/>
      <c r="G138" s="35"/>
      <c r="H138" s="36"/>
    </row>
    <row r="139" ht="15.75" customHeight="1">
      <c r="A139" s="129"/>
      <c r="B139" s="61"/>
      <c r="C139" s="61"/>
      <c r="D139" s="61"/>
      <c r="E139" s="61"/>
      <c r="F139" s="61"/>
      <c r="G139" s="61"/>
      <c r="H139" s="62"/>
    </row>
    <row r="140" ht="15.75" customHeight="1">
      <c r="A140" s="120"/>
      <c r="H140" s="121"/>
    </row>
    <row r="141" ht="15.75" customHeight="1">
      <c r="A141" s="120"/>
      <c r="H141" s="121"/>
    </row>
    <row r="142" ht="15.75" customHeight="1">
      <c r="A142" s="63"/>
      <c r="B142" s="64"/>
      <c r="C142" s="64"/>
      <c r="D142" s="64"/>
      <c r="E142" s="64"/>
      <c r="F142" s="64"/>
      <c r="G142" s="64"/>
      <c r="H142" s="65"/>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76">
    <mergeCell ref="A94:D94"/>
    <mergeCell ref="B96:H96"/>
    <mergeCell ref="B97:H97"/>
    <mergeCell ref="B98:H98"/>
    <mergeCell ref="B99:H99"/>
    <mergeCell ref="A100:H100"/>
    <mergeCell ref="A101:H103"/>
    <mergeCell ref="A104:H104"/>
    <mergeCell ref="A105:H108"/>
    <mergeCell ref="A111:D111"/>
    <mergeCell ref="B113:H113"/>
    <mergeCell ref="B114:H114"/>
    <mergeCell ref="B115:H115"/>
    <mergeCell ref="B116:H116"/>
    <mergeCell ref="B132:H132"/>
    <mergeCell ref="B133:H133"/>
    <mergeCell ref="A134:H134"/>
    <mergeCell ref="A135:H137"/>
    <mergeCell ref="A138:H138"/>
    <mergeCell ref="A139:H142"/>
    <mergeCell ref="A117:H117"/>
    <mergeCell ref="A118:H120"/>
    <mergeCell ref="A121:H121"/>
    <mergeCell ref="A122:H125"/>
    <mergeCell ref="A128:D128"/>
    <mergeCell ref="B130:H130"/>
    <mergeCell ref="B131:H1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28:B30 B45:B47 B62:B64 B79:B81 B96:B98 B113:B115 B130:B132">
      <formula1>Metadata!$B$2:$B$40</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9.63"/>
    <col customWidth="1" min="3" max="3" width="58.75"/>
    <col customWidth="1" min="4" max="4" width="58.38"/>
  </cols>
  <sheetData>
    <row r="1">
      <c r="A1" s="6" t="s">
        <v>384</v>
      </c>
      <c r="B1" s="6" t="s">
        <v>385</v>
      </c>
      <c r="C1" s="6" t="s">
        <v>24</v>
      </c>
      <c r="D1" s="6" t="s">
        <v>25</v>
      </c>
    </row>
    <row r="2">
      <c r="A2" s="6" t="s">
        <v>386</v>
      </c>
      <c r="B2" s="6" t="str">
        <f>Competencias!C13</f>
        <v>Identifica los elementos de una base de datos relacional mediante la exploración de Motores de bases de datos para comprender estructura y organización de datos </v>
      </c>
      <c r="C2" s="32" t="s">
        <v>387</v>
      </c>
      <c r="D2" s="32" t="s">
        <v>29</v>
      </c>
    </row>
    <row r="3">
      <c r="A3" s="6" t="s">
        <v>388</v>
      </c>
      <c r="B3" s="6" t="str">
        <f>Competencias!C15</f>
        <v>Aplica la creación de tablas, consultas y formularios utilizando motores de bases de datos para resolver problemas prácticos de gestión de información </v>
      </c>
      <c r="C3" s="32" t="s">
        <v>26</v>
      </c>
      <c r="D3" s="32" t="s">
        <v>389</v>
      </c>
    </row>
    <row r="4">
      <c r="A4" s="6" t="s">
        <v>390</v>
      </c>
      <c r="B4" s="6" t="str">
        <f>Competencias!C17</f>
        <v>Analiza la relación entre tareas, recursos y cronogramas con Microsoft Project para planificar proyectos académicos o simulados de manera ordenada </v>
      </c>
      <c r="C4" s="32" t="s">
        <v>391</v>
      </c>
      <c r="D4" s="32" t="s">
        <v>31</v>
      </c>
    </row>
    <row r="5">
      <c r="A5" s="6" t="s">
        <v>392</v>
      </c>
      <c r="B5" s="6" t="str">
        <f>Competencias!C19</f>
        <v>Desarolla dasboards interactivos mediante Power BI para visualizar datos integrados de Access y Excel en un entorno práctico </v>
      </c>
      <c r="C5" s="32" t="s">
        <v>28</v>
      </c>
      <c r="D5" s="32" t="s">
        <v>27</v>
      </c>
    </row>
    <row r="6">
      <c r="A6" s="6" t="s">
        <v>393</v>
      </c>
      <c r="B6" s="6" t="str">
        <f>Competencias!C21</f>
        <v>Evalúa la importancia de la ética en el uso de datos mediante el análisis de normativas y casos reales para proponer soluciones tecnológicas </v>
      </c>
      <c r="C6" s="32" t="s">
        <v>30</v>
      </c>
      <c r="D6" s="32" t="s">
        <v>394</v>
      </c>
    </row>
    <row r="7">
      <c r="A7" s="6" t="s">
        <v>395</v>
      </c>
      <c r="B7" s="6" t="str">
        <f>Competencias!C23</f>
        <v>Integra datos de múltiples fuentes con prácticas de laboratorio para generar reportes que appoyen la toma de decisiones </v>
      </c>
      <c r="C7" s="32" t="s">
        <v>396</v>
      </c>
      <c r="D7" s="32" t="s">
        <v>397</v>
      </c>
    </row>
    <row r="8">
      <c r="A8" s="6" t="s">
        <v>398</v>
      </c>
      <c r="B8" s="6" t="str">
        <f>Competencias!C25</f>
        <v>Crea un proyecto final de análisis y presentación de información utilizando Access Project y Power BI de manera conjunta bajo lineamientos de calidad </v>
      </c>
      <c r="C8" s="32" t="s">
        <v>399</v>
      </c>
      <c r="D8" s="32" t="s">
        <v>400</v>
      </c>
    </row>
    <row r="9">
      <c r="A9" s="6" t="s">
        <v>401</v>
      </c>
      <c r="C9" s="32" t="s">
        <v>402</v>
      </c>
    </row>
    <row r="10">
      <c r="A10" s="6" t="s">
        <v>403</v>
      </c>
      <c r="C10" s="32" t="s">
        <v>404</v>
      </c>
    </row>
    <row r="11">
      <c r="A11" s="6" t="s">
        <v>405</v>
      </c>
    </row>
    <row r="12">
      <c r="A12" s="6" t="s">
        <v>406</v>
      </c>
    </row>
    <row r="13">
      <c r="A13" s="6" t="s">
        <v>407</v>
      </c>
    </row>
    <row r="14">
      <c r="A14" s="6" t="s">
        <v>408</v>
      </c>
    </row>
    <row r="15">
      <c r="A15" s="6" t="s">
        <v>409</v>
      </c>
    </row>
    <row r="16">
      <c r="A16" s="6" t="s">
        <v>410</v>
      </c>
    </row>
    <row r="17">
      <c r="A17" s="6" t="s">
        <v>411</v>
      </c>
    </row>
    <row r="18">
      <c r="A18" s="6" t="s">
        <v>412</v>
      </c>
    </row>
    <row r="19">
      <c r="A19" s="6" t="s">
        <v>413</v>
      </c>
    </row>
    <row r="20">
      <c r="A20" s="6" t="s">
        <v>414</v>
      </c>
    </row>
    <row r="21">
      <c r="A21" s="6" t="s">
        <v>415</v>
      </c>
    </row>
    <row r="22">
      <c r="A22" s="6" t="s">
        <v>416</v>
      </c>
    </row>
    <row r="23">
      <c r="A23" s="6" t="s">
        <v>417</v>
      </c>
    </row>
    <row r="24">
      <c r="A24" s="6" t="s">
        <v>418</v>
      </c>
    </row>
    <row r="25">
      <c r="A25" s="6" t="s">
        <v>419</v>
      </c>
    </row>
    <row r="26">
      <c r="A26" s="6" t="s">
        <v>420</v>
      </c>
    </row>
    <row r="27">
      <c r="A27" s="6" t="s">
        <v>421</v>
      </c>
    </row>
    <row r="28">
      <c r="A28" s="6" t="s">
        <v>422</v>
      </c>
    </row>
    <row r="29">
      <c r="A29" s="6" t="s">
        <v>423</v>
      </c>
    </row>
    <row r="30">
      <c r="A30" s="6" t="s">
        <v>424</v>
      </c>
    </row>
    <row r="31">
      <c r="A31" s="6" t="s">
        <v>425</v>
      </c>
    </row>
    <row r="32">
      <c r="A32" s="6" t="s">
        <v>426</v>
      </c>
    </row>
    <row r="33">
      <c r="A33" s="6" t="s">
        <v>427</v>
      </c>
    </row>
    <row r="34">
      <c r="A34" s="6" t="s">
        <v>428</v>
      </c>
    </row>
    <row r="35">
      <c r="A35" s="6" t="s">
        <v>429</v>
      </c>
    </row>
    <row r="36">
      <c r="A36" s="6" t="s">
        <v>430</v>
      </c>
    </row>
    <row r="37">
      <c r="A37" s="6" t="s">
        <v>431</v>
      </c>
    </row>
    <row r="38">
      <c r="A38" s="6" t="s">
        <v>432</v>
      </c>
    </row>
    <row r="39">
      <c r="A39" s="6" t="s">
        <v>433</v>
      </c>
    </row>
    <row r="40">
      <c r="A40" s="6" t="s">
        <v>434</v>
      </c>
    </row>
    <row r="41">
      <c r="A41" s="6" t="s">
        <v>435</v>
      </c>
    </row>
    <row r="42">
      <c r="A42" s="6" t="s">
        <v>436</v>
      </c>
    </row>
    <row r="43">
      <c r="A43" s="6" t="s">
        <v>437</v>
      </c>
    </row>
    <row r="44">
      <c r="A44" s="6" t="s">
        <v>438</v>
      </c>
    </row>
    <row r="45">
      <c r="A45" s="6" t="s">
        <v>439</v>
      </c>
    </row>
    <row r="46">
      <c r="A46" s="6" t="s">
        <v>440</v>
      </c>
    </row>
    <row r="47">
      <c r="A47" s="6" t="s">
        <v>441</v>
      </c>
    </row>
    <row r="48">
      <c r="A48" s="6" t="s">
        <v>442</v>
      </c>
    </row>
    <row r="49">
      <c r="A49" s="6" t="s">
        <v>443</v>
      </c>
    </row>
    <row r="50">
      <c r="A50" s="6" t="s">
        <v>444</v>
      </c>
    </row>
    <row r="51">
      <c r="A51" s="6" t="s">
        <v>445</v>
      </c>
    </row>
    <row r="52">
      <c r="A52" s="6" t="s">
        <v>446</v>
      </c>
    </row>
    <row r="53">
      <c r="A53" s="6" t="s">
        <v>447</v>
      </c>
    </row>
    <row r="54">
      <c r="A54" s="6" t="s">
        <v>448</v>
      </c>
    </row>
    <row r="55">
      <c r="A55" s="6" t="s">
        <v>449</v>
      </c>
    </row>
    <row r="56">
      <c r="A56" s="6" t="s">
        <v>450</v>
      </c>
    </row>
    <row r="57">
      <c r="A57" s="6" t="s">
        <v>451</v>
      </c>
    </row>
    <row r="58">
      <c r="A58" s="6" t="s">
        <v>452</v>
      </c>
    </row>
    <row r="59">
      <c r="A59" s="6" t="s">
        <v>453</v>
      </c>
    </row>
    <row r="60">
      <c r="A60" s="6" t="s">
        <v>454</v>
      </c>
    </row>
    <row r="61">
      <c r="A61" s="6" t="s">
        <v>455</v>
      </c>
    </row>
    <row r="62">
      <c r="A62" s="6" t="s">
        <v>456</v>
      </c>
    </row>
    <row r="63">
      <c r="A63" s="6" t="s">
        <v>457</v>
      </c>
    </row>
    <row r="64">
      <c r="A64" s="6" t="s">
        <v>458</v>
      </c>
    </row>
    <row r="65">
      <c r="A65" s="6" t="s">
        <v>459</v>
      </c>
    </row>
    <row r="66">
      <c r="A66" s="6" t="s">
        <v>460</v>
      </c>
    </row>
    <row r="67">
      <c r="A67" s="6" t="s">
        <v>461</v>
      </c>
    </row>
    <row r="68">
      <c r="A68" s="6" t="s">
        <v>462</v>
      </c>
    </row>
    <row r="69">
      <c r="A69" s="6" t="s">
        <v>463</v>
      </c>
    </row>
    <row r="70">
      <c r="A70" s="6" t="s">
        <v>464</v>
      </c>
    </row>
    <row r="71">
      <c r="A71" s="6" t="s">
        <v>465</v>
      </c>
    </row>
    <row r="72">
      <c r="A72" s="6" t="s">
        <v>466</v>
      </c>
    </row>
    <row r="73">
      <c r="A73" s="6" t="s">
        <v>467</v>
      </c>
    </row>
    <row r="74">
      <c r="A74" s="6" t="s">
        <v>468</v>
      </c>
    </row>
    <row r="75">
      <c r="A75" s="6" t="s">
        <v>469</v>
      </c>
    </row>
    <row r="76">
      <c r="A76" s="6" t="s">
        <v>470</v>
      </c>
    </row>
    <row r="77">
      <c r="A77" s="6" t="s">
        <v>471</v>
      </c>
    </row>
    <row r="78">
      <c r="A78" s="6" t="s">
        <v>472</v>
      </c>
    </row>
    <row r="79">
      <c r="A79" s="6" t="s">
        <v>2</v>
      </c>
    </row>
    <row r="80">
      <c r="A80" s="6" t="s">
        <v>473</v>
      </c>
    </row>
    <row r="81">
      <c r="A81" s="6" t="s">
        <v>474</v>
      </c>
    </row>
  </sheetData>
  <drawing r:id="rId1"/>
</worksheet>
</file>