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en" sheetId="1" r:id="rId5"/>
    <sheet state="visible" name="Competencias" sheetId="2" r:id="rId6"/>
    <sheet state="visible" name="Diseño" sheetId="3" r:id="rId7"/>
    <sheet state="visible" name="Semana Diagnostico" sheetId="4" r:id="rId8"/>
    <sheet state="visible" name="S.2" sheetId="5" r:id="rId9"/>
    <sheet state="visible" name="S.3" sheetId="6" r:id="rId10"/>
    <sheet state="visible" name="S.4" sheetId="7" r:id="rId11"/>
    <sheet state="visible" name="S.5" sheetId="8" r:id="rId12"/>
    <sheet state="visible" name="S.6" sheetId="9" r:id="rId13"/>
    <sheet state="visible" name="S.7" sheetId="10" r:id="rId14"/>
    <sheet state="visible" name="S.8" sheetId="11" r:id="rId15"/>
    <sheet state="visible" name="S.9" sheetId="12" r:id="rId16"/>
    <sheet state="visible" name="S.10" sheetId="13" r:id="rId17"/>
    <sheet state="visible" name="S.11" sheetId="14" r:id="rId18"/>
    <sheet state="visible" name="Proyectos" sheetId="15" r:id="rId19"/>
    <sheet state="visible" name="Practicas" sheetId="16" r:id="rId20"/>
    <sheet state="visible" name="Tareas" sheetId="17" r:id="rId21"/>
    <sheet state="visible" name="Metadata" sheetId="18" r:id="rId2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8">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<sst xmlns="http://schemas.openxmlformats.org/spreadsheetml/2006/main" count="1486" uniqueCount="475">
  <si>
    <t xml:space="preserve">Resumen de Ponderacion y Horas </t>
  </si>
  <si>
    <t>Curso</t>
  </si>
  <si>
    <t>Diseño de Contenido Curricular</t>
  </si>
  <si>
    <t>Competencias que se formaran en el Segundo Semestre 2026</t>
  </si>
  <si>
    <t>667 - Programacion Comercial 1</t>
  </si>
  <si>
    <t>Semestre que aplica</t>
  </si>
  <si>
    <t>Segundo Semestre 2026</t>
  </si>
  <si>
    <t>Total de Puntos del Laboratorio</t>
  </si>
  <si>
    <t>* Esta sección se auto completa al momento en que se llene a la información de la planificación</t>
  </si>
  <si>
    <t>** Tomar como base la distribución realizada por el coordinador del area del curso en el documento de criterios y expectativas</t>
  </si>
  <si>
    <t>semestre que aplica</t>
  </si>
  <si>
    <t>Tipo de Actividad</t>
  </si>
  <si>
    <t>Ponderacion</t>
  </si>
  <si>
    <t>Horas utilizadas</t>
  </si>
  <si>
    <t>Aspectos clave que debe abordar</t>
  </si>
  <si>
    <t>No.</t>
  </si>
  <si>
    <t>Competencia</t>
  </si>
  <si>
    <t>Valor Maximo Recomendado</t>
  </si>
  <si>
    <t>Nombre de la Unidad</t>
  </si>
  <si>
    <t>Tema</t>
  </si>
  <si>
    <t>Subtema</t>
  </si>
  <si>
    <t>Actividades durante el peridodo de laboratorio</t>
  </si>
  <si>
    <t>Mes</t>
  </si>
  <si>
    <t>Semana</t>
  </si>
  <si>
    <t xml:space="preserve">Identifica los elementos de una base de datos relacional mediante la exploración de Motores de bases de datos para comprender estructura y organización de datos </t>
  </si>
  <si>
    <t xml:space="preserve">1.  Base de datos </t>
  </si>
  <si>
    <t>Tiempo</t>
  </si>
  <si>
    <t>Introducción a las bases de datos</t>
  </si>
  <si>
    <t>Introduccion a las bases de datos</t>
  </si>
  <si>
    <t>Competencias relacionadas al perfil del egresado (Especifica)</t>
  </si>
  <si>
    <t>Conceptos Iniciales de las bases de datos</t>
  </si>
  <si>
    <t>Competencias relacionadas al perfil del egresado (General)</t>
  </si>
  <si>
    <t>Proyectos</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</si>
  <si>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</si>
  <si>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Qué es una base de datos, tabla, registro.</t>
  </si>
  <si>
    <t>Tipos de bases de datos</t>
  </si>
  <si>
    <t>Gestores en las bases de datos</t>
  </si>
  <si>
    <t xml:space="preserve">1. Bienvenida y Presentación                                   </t>
  </si>
  <si>
    <t>Conceptos iniciales de las bases de datos</t>
  </si>
  <si>
    <t>Identifica oportunidades y riesgos para la innovación y adaptación de
 conocimientos y tecnologías para resolver problemas.</t>
  </si>
  <si>
    <t>Tiempo Aproximado</t>
  </si>
  <si>
    <t>¿Qué es SQL Server?</t>
  </si>
  <si>
    <t>RDBMS, T-SQL, casos de uso, características clave</t>
  </si>
  <si>
    <t>Prácticas</t>
  </si>
  <si>
    <t>Instalación y conexión</t>
  </si>
  <si>
    <t>Edición Developer, SSMS, modo de autenticación, conexión inicial</t>
  </si>
  <si>
    <t>Creación de la base de datos</t>
  </si>
  <si>
    <t>CREATE DATABASE y contexto USE</t>
  </si>
  <si>
    <t>Maneja e Interpreta adecuadamente datos masivos, sean estos
 estructurados o no estructurados, facilitando su visualización e interpretación
 de forma eficaz en apoyo a la toma de decisiones.</t>
  </si>
  <si>
    <t>No puedes excederte mas de 15 minutos</t>
  </si>
  <si>
    <t>Tablas y tipos de datos</t>
  </si>
  <si>
    <t xml:space="preserve">Nombre y Formacion Academica </t>
  </si>
  <si>
    <t>INT, DECIMAL(p,s), NVARCHAR(n), DATE/DATETIME, BIT, PRIMARY KEY, IDENTITY, NOT NULL</t>
  </si>
  <si>
    <t>Tareas</t>
  </si>
  <si>
    <t>Inserción de datos</t>
  </si>
  <si>
    <t>Nombre del auxiliar, carrera a la que pertenece, semestre que cursan</t>
  </si>
  <si>
    <t>INSERT INTO ... VALUES (...) (múltiples filas)</t>
  </si>
  <si>
    <t>SELECT básico</t>
  </si>
  <si>
    <t>SELECT *, proyección de columnas, WHERE, ORDER BY</t>
  </si>
  <si>
    <t>Toma decisiones profesionales con base en fundamentos teóricos, datos e
 información pertinente, válida y confiable.</t>
  </si>
  <si>
    <t xml:space="preserve">Experiencia docente y profecional </t>
  </si>
  <si>
    <t>Hoja de Trabajo 1</t>
  </si>
  <si>
    <t>Ejercicio integrador: BD + tablas + inserts + consultas</t>
  </si>
  <si>
    <t>Indicar  semestre de auxiliar</t>
  </si>
  <si>
    <t>Creación de una base de datos</t>
  </si>
  <si>
    <t>Aplicación de conceptos diagrama entidad relación</t>
  </si>
  <si>
    <t xml:space="preserve">Aplica la creación de tablas, consultas y formularios utilizando motores de bases de datos para resolver problemas prácticos de gestión de información </t>
  </si>
  <si>
    <t>Rol del auxiliar dentro del curso (funciones, actividades y apoyo a los estudiantes).</t>
  </si>
  <si>
    <t>Formularios y consultas</t>
  </si>
  <si>
    <t>Tipos de formularios</t>
  </si>
  <si>
    <t>Indicar métricas, calificaciones, fechas, calificaciones a realizar por parte del auxiliar</t>
  </si>
  <si>
    <t>Controles y validación en formularios</t>
  </si>
  <si>
    <t>Expectativas sobre la dinámica del curso</t>
  </si>
  <si>
    <t>Que el estudiante aprenda las habilidades impartidas en el curso, a través de presentaciones iteractivas, dinámicas mediante 
actividades que complementen el contenido impartido en el curso.</t>
  </si>
  <si>
    <t>Eventos en formularios</t>
  </si>
  <si>
    <t xml:space="preserve">Tiempo que emplearas </t>
  </si>
  <si>
    <t>Diseño y utilidad de formularios</t>
  </si>
  <si>
    <t>Total</t>
  </si>
  <si>
    <t>consultas y conceptos básicos</t>
  </si>
  <si>
    <t>Consultas de selección</t>
  </si>
  <si>
    <t>Aplica principios básicos de ingeniería, ciencias de computación y sistemas
 de información y comunicación, en la formulación y resolución adecuada de
 problemas complejos.</t>
  </si>
  <si>
    <t xml:space="preserve">2. Evaluación de Conocimientos Previos                             </t>
  </si>
  <si>
    <t>Consulta de Acción</t>
  </si>
  <si>
    <t>Tipos de datos y consultas basicas</t>
  </si>
  <si>
    <t>INT/SMALLINT/BIGINT, DECIMAL vs MONEY, exactos vs aproximados</t>
  </si>
  <si>
    <t>Validacion</t>
  </si>
  <si>
    <t>No puedes excederte mas de 45 minutos</t>
  </si>
  <si>
    <t>En los recuadors de la derecha deberas colocar las preguntas que planeas realizar con sus respectivas respuestas.  En el segundo recuadro deberas colocar un breve resumne de lo que tines planificado para la parte practica del curso previo al que estas impartiendo.</t>
  </si>
  <si>
    <t>Redactaras de 15 a 20 preguntas con sus respectivas respuestas , por lo que debes escoge los temas que evaluaras</t>
  </si>
  <si>
    <t>Precisión, usos y defaults (SYSDATETIME/SYSUTCDATETIME)</t>
  </si>
  <si>
    <t xml:space="preserve">¿Qué es una base de datos y para qué se utiliza?
Una base de datos es un conjunto organizado de información que se almacena y gestiona de manera estructurada para facilitar su acceso, consulta y manipulación.
¿Cuál es la diferencia entre una base de datos relacional y una no relacional?
La relacional organiza la información en tablas con relaciones definidas mediante claves; la no relacional usa estructuras flexibles como documentos, grafos o pares clave-valor.
¿Qué es un modelo entidad-relación?
Es una representación gráfica que muestra las entidades de un sistema, sus atributos y las relaciones entre ellas.
¿Qué es una clave primaria en una tabla?
Es un campo o conjunto de campos que identifica de forma única cada registro en una tabla.
¿Qué es una clave foránea?
Es un campo en una tabla que se relaciona con la clave primaria de otra tabla para establecer una relación entre ambas.
¿Qué es la normalización de una base de datos?
Es el proceso de organizar los datos para reducir redundancias y mejorar la integridad.
¿Qué es una transacción en bases de datos?
Es una unidad lógica de trabajo que agrupa varias operaciones y que cumple con las propiedades ACID: atomicidad, consistencia, aislamiento y durabilidad.
¿Qué es un índice en bases de datos?
Es una estructura que mejora la velocidad de las consultas al permitir accesos más rápidos a los registros.
¿Qué es SQL y para qué sirve?
SQL es un lenguaje estándar para definir, consultar y manipular datos en bases de datos relacionales.
¿Qué es un procedimiento almacenado?
Es un conjunto de instrucciones SQL almacenadas en el servidor que pueden ejecutarse para realizar operaciones específicas.
¿Qué es la planificación de proyectos en Microsoft Project?
Es la organización y gestión de tareas, recursos y tiempos dentro de un proyecto mediante la herramienta Microsoft Project.
¿Qué es un diagrama de Gantt en Microsoft Project?
Es una representación gráfica del cronograma del proyecto que muestra las tareas en el tiempo y sus dependencias.
¿Qué son las dependencias entre tareas en Microsoft Project?
Son las relaciones que definen el orden en que deben ejecutarse las tareas de un proyecto.
¿Qué es la ruta crítica en la planificación de proyectos?
Es la secuencia de tareas que determina la duración total mínima del proyecto; si alguna se retrasa, el proyecto completo se retrasa.
¿Qué es la asignación de recursos en Microsoft Project?
Es el proceso de asociar personas, equipos o materiales a tareas específicas para su ejecución dentro del proyecto.
</t>
  </si>
  <si>
    <t>Unicode, collation, longitud fija vs variable</t>
  </si>
  <si>
    <t>Demuestra destreza y habilidad en la selección, uso y adaptación de
 herramientas metodológicas, tecnológicas, equipos especializados y en la
 lectura e interpretación de datos, pertinentes al contexto de su ejercicio
 profesional.</t>
  </si>
  <si>
    <t>Redactaras una parte practica para realizar la evaluacion de conocimientos previos</t>
  </si>
  <si>
    <t>Se relizara un ejercicio de un quiz con prrguntas interactivas para su realización h compresióm previa de etemas</t>
  </si>
  <si>
    <t>Elección en OLTP, impacto en índices</t>
  </si>
  <si>
    <t>Aplica conocimientos tecnológicos con ética profesional y respetando y
 cuidando los recursos naturales, humanos y financieros.</t>
  </si>
  <si>
    <t>Cuándo usar cada una; costos y estadísticas</t>
  </si>
  <si>
    <t>Plantilla, reglas ON vs WHERE, filtros por fecha</t>
  </si>
  <si>
    <t xml:space="preserve">3. Presentación de los Estudiantes                                </t>
  </si>
  <si>
    <t>Ventanas (ROW_NUMBER, SUM OVER), SCOPE_IDENTITY(), TRY/CATCH + TRAN</t>
  </si>
  <si>
    <t xml:space="preserve">Analiza la relación entre tareas, recursos y cronogramas con Microsoft Project para planificar proyectos académicos o simulados de manera ordenada </t>
  </si>
  <si>
    <t xml:space="preserve">No puedes excederte mas de 30 minutos </t>
  </si>
  <si>
    <t>Final</t>
  </si>
  <si>
    <t>2. Microsoft Project</t>
  </si>
  <si>
    <t>Gestión de proyectos</t>
  </si>
  <si>
    <t>Seleccion al Azar de 5 Estudiantes</t>
  </si>
  <si>
    <t>Introduccion a la gestión de proyectos</t>
  </si>
  <si>
    <t>Elige a través de meet a 5 estudiantes para hacer preguntas de conocimientos previos</t>
  </si>
  <si>
    <t>Proyecto</t>
  </si>
  <si>
    <t>Proyecto2</t>
  </si>
  <si>
    <t>Instalación Microsoft proyect o Project libre</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</si>
  <si>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</si>
  <si>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HT</t>
  </si>
  <si>
    <t>No</t>
  </si>
  <si>
    <t>Indica las preguntas que responderan los estudiantes afortunados</t>
  </si>
  <si>
    <t>¿Qué significa SQL?
SQL significa Structured Query Language y se utiliza para manejar y consultar bases de datos.
¿Qué es una tabla en una base de datos?
Es una estructura que organiza los datos en filas y columnas.</t>
  </si>
  <si>
    <t>Fundamentos de la Planificación de Proyectos</t>
  </si>
  <si>
    <t>Tipo</t>
  </si>
  <si>
    <t>¿Qué es un proyeco y tipos de proyectos?</t>
  </si>
  <si>
    <t>Verbo en Presente</t>
  </si>
  <si>
    <t>Objeto de la acción</t>
  </si>
  <si>
    <t>Teoría de Microsoft Project</t>
  </si>
  <si>
    <t>[Palabras conectoreas] Herramientas o metodología</t>
  </si>
  <si>
    <t xml:space="preserve">4.  Senso de Horarios de Calificación                                  </t>
  </si>
  <si>
    <t>Explorando la interfaz de Microsoft Project o project libre</t>
  </si>
  <si>
    <t>Características de un proyecto</t>
  </si>
  <si>
    <t xml:space="preserve">Deberas estar recordando que deben contestar el formulario asi mismo dejar el link fijado en la llamada </t>
  </si>
  <si>
    <t>[Palabras conectoreas] Condiciones específicas</t>
  </si>
  <si>
    <t>Esta actividad quedara abierta hasta el fin de la clase. pero emplearas 5 min especificos para la actividad</t>
  </si>
  <si>
    <t xml:space="preserve">Link de google forms donde este el cuestionario </t>
  </si>
  <si>
    <t>Nivel</t>
  </si>
  <si>
    <t>https://docs.google.com/forms/d/e/1FAIpQLSfg-J4rYH0YvdDWDED9zBTHV0i8563q1EZcWcI-AAwdLIqQEw/viewform?usp=sharing&amp;ouid=106956778603863897718</t>
  </si>
  <si>
    <t>Planificación de Tareas</t>
  </si>
  <si>
    <t>Ciclo de vida de un proyecto</t>
  </si>
  <si>
    <t>Roles en la gestión de proyectos</t>
  </si>
  <si>
    <t>Definición de objetivos y Alcance del proyecto</t>
  </si>
  <si>
    <t>Especifica</t>
  </si>
  <si>
    <t>Asignación de Recursos</t>
  </si>
  <si>
    <t>Estructura de desglose de trabajo</t>
  </si>
  <si>
    <t>Identifica</t>
  </si>
  <si>
    <t>Estimación de tiempos y costos</t>
  </si>
  <si>
    <t>Asignación de recursos</t>
  </si>
  <si>
    <t>los elementos de una base de datos relacional</t>
  </si>
  <si>
    <t>Gestión de Costos</t>
  </si>
  <si>
    <t>Análisis de costos</t>
  </si>
  <si>
    <t xml:space="preserve">Evalúa la importancia de la ética en el uso de datos mediante el análisis de normativas y casos reales para proponer soluciones tecnológicas </t>
  </si>
  <si>
    <t>3. Powe Bi</t>
  </si>
  <si>
    <t>Analisis de datos</t>
  </si>
  <si>
    <t>Interpretación de costos</t>
  </si>
  <si>
    <t>mediante la exploración de Motores de bases de datos</t>
  </si>
  <si>
    <t>Evaluación de costos en tomas de desiciones</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</si>
  <si>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</si>
  <si>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¿Qué es el análisis de datos?</t>
  </si>
  <si>
    <t>para comprender estructura y organización de datos</t>
  </si>
  <si>
    <t>Conceptos básicos: datos, información y conocimiento.</t>
  </si>
  <si>
    <t xml:space="preserve">Dias y posibles Horarios de calificacion </t>
  </si>
  <si>
    <t xml:space="preserve">Jueves de 18:00-20:00 Viernes de 18:00-20:00  Sábados de 8:00 - 13:00 </t>
  </si>
  <si>
    <t>Tipos de análisis: descriptivo, predictivo, prescriptivo.</t>
  </si>
  <si>
    <t>Introducción a Power BI</t>
  </si>
  <si>
    <t xml:space="preserve">5.  Mostrar Programa del Curso                 </t>
  </si>
  <si>
    <t>¿Qué es Power BI y para qué sirve?</t>
  </si>
  <si>
    <t xml:space="preserve">Desarolla dasboards interactivos mediante Power BI para visualizar datos integrados de Access y Excel en un entorno práctico </t>
  </si>
  <si>
    <t>Power BI</t>
  </si>
  <si>
    <t>Elementos principales: Desktop, Service y Mobile.</t>
  </si>
  <si>
    <t>No puedes excederte mas de 30 minutos</t>
  </si>
  <si>
    <t>Instalación y exploración de power bi</t>
  </si>
  <si>
    <t>Primeros pasos: configuración inicial</t>
  </si>
  <si>
    <t xml:space="preserve">6. Evaluación de Conocimientos del Curso Actual                                  </t>
  </si>
  <si>
    <t>Conociendo la interfaz</t>
  </si>
  <si>
    <t>Áreas de trabajo: Informe, Datos y Modelo</t>
  </si>
  <si>
    <t>Herramientas y páneles principales</t>
  </si>
  <si>
    <t xml:space="preserve">Redactaras 20 preguntas con sus respectivas respuestas </t>
  </si>
  <si>
    <t>Carga de datos de ejemplo en Power BI</t>
  </si>
  <si>
    <t>Creación de gráficos y reportes</t>
  </si>
  <si>
    <t>¿Qué es una base de datos?
R: Es un conjunto organizado de información que se almacena y se puede consultar fácilmente.
¿Qué significa el modelo entidad–relación (E–R)?
R: Es una forma gráfica de representar las entidades, atributos y relaciones de un sistema.
¿Qué diferencia hay entre una entidad y un atributo?
R: Una entidad es un objeto o concepto (ej. Alumno), mientras que un atributo es una característica de la entidad (ej. nombre, edad).
¿Qué es una clave primaria?
R: Es un campo que identifica de manera única cada registro en una tabla.
¿Para qué sirve una relación en un diagrama E–R?
R: Sirve para mostrar cómo se asocian dos o más entidades.
Da un ejemplo de una entidad y sus atributos en un sistema escolar.
R: Entidad: Alumno. Atributos: Carnet, Nombre, Edad, Dirección.
¿Qué es una tabla en una base de datos relacional?
R: Es una estructura que organiza datos en filas (registros) y columnas (campos).
¿Qué diferencia hay entre una clave primaria y una clave foránea?
R: La clave primaria identifica de forma única un registro; la clave foránea enlaza una tabla con otra.
¿Qué tipo de software es Access?
R: Es un sistema de gestión de bases de datos relacional de Microsoft.
¿Para qué sirve un formulario en Access?
R: Para facilitar la entrada y visualización de datos en una tabla.
¿Qué es una consulta en Access?
R: Es una instrucción que permite filtrar, ordenar o combinar datos de una o varias tablas.
¿Qué diferencia hay entre una tabla y un reporte en Access?
R: La tabla almacena los datos; el reporte sirve para presentarlos de manera organizada e imprimible.
¿Para qué sirve Power BI?
R: Para analizar datos y crear reportes y dashboards interactivos.
¿Qué es un dashboard en Power BI?
R: Es un panel con varias visualizaciones que muestran indicadores clave de un conjunto de datos.
¿Qué tipo de fuentes de datos se pueden conectar en Power BI?
R: Archivos (Excel, CSV), bases de datos (SQL Server, Oracle, MySQL), servicios en la nube (Google Analytics, Azure, etc.).
¿Qué diferencia hay entre una tabla de datos y una visualización en Power BI?
R: La tabla de datos muestra la información en crudo, la visualización la presenta de forma gráfica (gráficas, mapas, etc.).
¿Qué es un proyecto?
R: Es un esfuerzo temporal con un objetivo definido y recursos limitados.
¿Qué significa el alcance de un proyecto?
R: Define qué se incluye y qué no se incluye en el trabajo del proyecto.
¿Cuál es la importancia de un cronograma en la gestión de proyectos?
R: Permite planificar y controlar las fechas y tareas del proyecto.
Menciona una herramienta digital que se pueda usar para gestionar proyectos.
R: Ejemplos: Microsoft Project, Trello, Asana, Jira.</t>
  </si>
  <si>
    <t>Elaboración de gráficos básicos</t>
  </si>
  <si>
    <t>Barras, líneas, áreas y circulares.</t>
  </si>
  <si>
    <t>Aplica</t>
  </si>
  <si>
    <t>la creación de tablas, consultas y formularios</t>
  </si>
  <si>
    <t>Personalización: colores, etiquetas y leyendas.</t>
  </si>
  <si>
    <t>utilizando motores de bases de datos</t>
  </si>
  <si>
    <t>Gráficos avanzados</t>
  </si>
  <si>
    <t>para resolver problemas prácticos de gestión de información</t>
  </si>
  <si>
    <t>Slicers, tarjetas de KPIs y combinaciones de gráficos.</t>
  </si>
  <si>
    <t>Uso de visualizaciones del marketplace.</t>
  </si>
  <si>
    <t>Interacción entre visualizaciones</t>
  </si>
  <si>
    <t>Uso de filtros y segmentadores</t>
  </si>
  <si>
    <t>Jerarquías y drill down</t>
  </si>
  <si>
    <t>Panel de filtros a nivel visual, página y reporte</t>
  </si>
  <si>
    <t>Analiza</t>
  </si>
  <si>
    <t>la relación entre tareas, recursos y cronogramas</t>
  </si>
  <si>
    <t>con Microsoft Project</t>
  </si>
  <si>
    <t>para planificar proyectos académicos o simulados de manera ordenada</t>
  </si>
  <si>
    <t>Botones, marcadores y navegación</t>
  </si>
  <si>
    <t>Publicación en Power BI Service</t>
  </si>
  <si>
    <t>Compartir dashboards y actualización básica</t>
  </si>
  <si>
    <t>Desarolla</t>
  </si>
  <si>
    <t>dasboards interactivos</t>
  </si>
  <si>
    <t>mediante Power BI</t>
  </si>
  <si>
    <t>para visualizar datos integrados de Access y Excel en un entorno práctico</t>
  </si>
  <si>
    <t>Evalúa</t>
  </si>
  <si>
    <t>la importancia de la ética en el uso de datos</t>
  </si>
  <si>
    <t>mediante el análisis de normativas y casos reales</t>
  </si>
  <si>
    <t>para proponer soluciones tecnológicas</t>
  </si>
  <si>
    <t>Integra</t>
  </si>
  <si>
    <t>datos de múltiples fuentes</t>
  </si>
  <si>
    <t>con prácticas de laboratorio</t>
  </si>
  <si>
    <t>para generar reportes que appoyen la toma de decisiones</t>
  </si>
  <si>
    <t>Crea</t>
  </si>
  <si>
    <t>un proyecto final de análisis y presentación de información</t>
  </si>
  <si>
    <t>utilizando Access Project y Power BI de manera conjunta</t>
  </si>
  <si>
    <t>bajo lineamientos de calidad</t>
  </si>
  <si>
    <t>Diseño de la Sesión de Laboratorio</t>
  </si>
  <si>
    <t>Ejemplos. https://drive.google.com/drive/folders/1szLcpzkwozPD6nD4uuaiZQ3mmDRuVKVy?usp=sharing</t>
  </si>
  <si>
    <t>Si las competencias son las misma que el semetre anterior compartenos tu opinion de porque no se cambiaron</t>
  </si>
  <si>
    <t>No se cambiaron porque el curso conserva su misma orientación académica y continúa trabajando tecnologías vigentes, por lo que las competencias siguen siendo pertinentes para la formación del estudiante</t>
  </si>
  <si>
    <t>Ponderación</t>
  </si>
  <si>
    <t>Validación de Tiempo</t>
  </si>
  <si>
    <t>1. Área Actitudinal (Saber Ser)</t>
  </si>
  <si>
    <t>Tiene que estar en un rango de 3 a 5 minutos</t>
  </si>
  <si>
    <t>Nombre del Valor</t>
  </si>
  <si>
    <t>Compromiso</t>
  </si>
  <si>
    <t>Descripcion</t>
  </si>
  <si>
    <t>Valor aplicado en las primeras semanas del inicio del laboratorio para fomentar en el estudiante la disciplina y compromiso.</t>
  </si>
  <si>
    <t>Como se relaciona con los conocimientos de la sesion y se aplicaria</t>
  </si>
  <si>
    <t>Compromiso: El iniciar el curso tomando en cuenta las métricas iniciales del curso para cumplic ocn las espectativas impuetas, dirigen al estudiante a un
compromiso para concluir de manera exitosa el curso</t>
  </si>
  <si>
    <t>2. Área Conocimiento (Saber)</t>
  </si>
  <si>
    <t>Fidelidad, Honestidad, Justicia</t>
  </si>
  <si>
    <t>Comunicación Asertiva, Trabajo en Equipo y Toma de Decisiones</t>
  </si>
  <si>
    <t>No puede exceder los 60 minutos</t>
  </si>
  <si>
    <t>Competencia a desarrollar</t>
  </si>
  <si>
    <t>Breve conversación guiada sobre cómo estos valores sostienen la calidad del dato, la trazabilidad de cambios y la confianza en sistemas transaccionales.</t>
  </si>
  <si>
    <t>Los valores fundamentales a desarrollar en esta sesión incluyen habilidades de comunicación, trabajo en equipo, resolución de conflictos, adaptabilidad y pensamiento crítico. Estos valores son esenciales para mejorar la interacción y el rendimiento tanto individual como grupal.</t>
  </si>
  <si>
    <t>2.1 Contenido</t>
  </si>
  <si>
    <t>Fidelidad: seguir paso a paso la instalación y configuración de SQL Server/SSMS y crear objetos tal como se indica.
Honestidad: ejecutar SELECT y reportar resultados tal como salen (sin “arreglar” datos).
Justicia: uso responsable de autenticación/permisos en SQL Server y buenas prácticas al colaborar (pull requests, revisión de scripts).</t>
  </si>
  <si>
    <t>Unidad</t>
  </si>
  <si>
    <t xml:space="preserve">Tema </t>
  </si>
  <si>
    <t>Sub Tema</t>
  </si>
  <si>
    <t>Durante la sesión, estos valores se integran en las actividades y ejercicios prácticos que permiten a los participantes aplicar estos principios en escenarios reales. A través de dinámicas de grupo y reflexiones, los participantes fortalecerán estos valores en su entorno personal y profesional.</t>
  </si>
  <si>
    <t>Bases de datos</t>
  </si>
  <si>
    <t>Introducción a la base de datos</t>
  </si>
  <si>
    <t xml:space="preserve">Crea un proyecto final de análisis y presentación de información utilizando Access Project y Power BI de manera conjunta bajo lineamientos de calidad </t>
  </si>
  <si>
    <t>Teoría del  moitor de bases de datos a utilizar</t>
  </si>
  <si>
    <t>2.2 Recursos Educativos</t>
  </si>
  <si>
    <t>Tipo de Recurso a utilizar</t>
  </si>
  <si>
    <t>Rango Aproximando</t>
  </si>
  <si>
    <t>Presentacion</t>
  </si>
  <si>
    <t>Obligatorio</t>
  </si>
  <si>
    <t>3 a 10 minutos</t>
  </si>
  <si>
    <t>Conceptos básicos, historia y evolución</t>
  </si>
  <si>
    <t>Video</t>
  </si>
  <si>
    <t>Lectura</t>
  </si>
  <si>
    <t>Optativo</t>
  </si>
  <si>
    <t>10-30</t>
  </si>
  <si>
    <t>Modelos de bases de datos</t>
  </si>
  <si>
    <t>Relacional, jerárquico, en red</t>
  </si>
  <si>
    <t>Ejercicio Demostrativo</t>
  </si>
  <si>
    <t>20-40</t>
  </si>
  <si>
    <t>3. Área de Habilidades (Saber Hacer)</t>
  </si>
  <si>
    <t>Diseño de bases de datos</t>
  </si>
  <si>
    <t>Modelado entidad-relación, normalización</t>
  </si>
  <si>
    <t>Tiene que estar en un rango de 30 a 50 minutos</t>
  </si>
  <si>
    <t>Lenguaje SQL</t>
  </si>
  <si>
    <t>Actividad 1 (Obligatoria)</t>
  </si>
  <si>
    <t>SELECT, INSERT, UPDATE, DELETE</t>
  </si>
  <si>
    <t>Competencia que predomina en la actividad</t>
  </si>
  <si>
    <t>Normalización de bases de datos</t>
  </si>
  <si>
    <t>Valor maximo recomendado en Minutos</t>
  </si>
  <si>
    <t>Primera, segunda, tercera forma normal</t>
  </si>
  <si>
    <t>Tiempo Aproximado ( unicamente el valor de minutos )</t>
  </si>
  <si>
    <t>Cuestionario</t>
  </si>
  <si>
    <t>Índices y optimización</t>
  </si>
  <si>
    <t>Tipos de índices, mejoras de rendimiento</t>
  </si>
  <si>
    <t>Procedimientos almacenados</t>
  </si>
  <si>
    <t>Definición, ventajas, ejemplos</t>
  </si>
  <si>
    <t>Coloca el tiempo que usar en la actividad, un tiempo sugerido 30 minutos</t>
  </si>
  <si>
    <t>Descripcion de la Actividad</t>
  </si>
  <si>
    <t>Actividad de cuestionario interactivo a través de Kahoot donde los estudiantes responden preguntas relacionadas con conceptos básicos de bases de datos como tablas, registros, tipos de bases de datos y gestores.</t>
  </si>
  <si>
    <t>Actividad 2 (Optativa puedes hacerla si lo consideras apropiado)</t>
  </si>
  <si>
    <t>Práctica guiada</t>
  </si>
  <si>
    <t>Coloca el tiempo que usar en la actividad, un tiempo sugerido 20 minutos</t>
  </si>
  <si>
    <t>Ejercicio practico</t>
  </si>
  <si>
    <t>Exploración práctica de un gestor de base de datos (por ejemplo MySQL o SQL Server) donde el estudiante identifica tablas, campos y registros dentro de una base de datos de ejemplo.</t>
  </si>
  <si>
    <t>3. Cierre</t>
  </si>
  <si>
    <t>Tiene que estar en un rango de 10 a 15 minutos</t>
  </si>
  <si>
    <t>Asignacion de Actividades</t>
  </si>
  <si>
    <t>Se asigna como tarea investigar un gestor de base de datos adicional y describir sus características principales.</t>
  </si>
  <si>
    <t>Siguiendo la guía proporcionada, instala SQL Server y SQL Server Management Studio (SSMS).
A continuación, crea una base de datos llamada PC1N y, dentro de ella, la tabla Estudiantes con los atributos: Nombres, Apellidos y Carnet.
Registra en la tabla tu información personal como un nuevo registro.</t>
  </si>
  <si>
    <t>actividades</t>
  </si>
  <si>
    <t>Resuelve alguna duda, asigna las actividades que deben realizar, dudas de proyectos, etc</t>
  </si>
  <si>
    <t>Práctica adicional</t>
  </si>
  <si>
    <t>20 minutos</t>
  </si>
  <si>
    <t>El estudiante desarrollará ejercicios prácticos donde aplicará conceptos de bases de datos, incluyendo diseño entidad-relación, creación de tablas, consultas básicas y uso de formularios. Se trabajará con ejemplos guiados para reforzar la comprensión de la estructura y manipulación de datos.</t>
  </si>
  <si>
    <t>El estudiante realizará consultas adicionales utilizando filtros (WHERE) y ordenamientos (ORDER BY) sobre la tabla creada, para reforzar la comprensión del lenguaje SQL.</t>
  </si>
  <si>
    <t>Breve conclusión de la clase y apartado de dudas.</t>
  </si>
  <si>
    <t>El estudiante diseñará formularios y consultas adicionales (de selección y acción) aplicando validaciones y eventos para mejorar la interacción con la base de datos.</t>
  </si>
  <si>
    <t>Resolución de dudas y retroalimentación sobre las actividades realizadas. Se recomienda reforzar los temas vistos mediante práctica adicional en casa.</t>
  </si>
  <si>
    <t>La comunicación asertiva, el trabajo en equipo y la toma de decisiones permiten organizar ideas, colaborar de forma efectiva y resolver situaciones de manera adecuada durante el desarrollo de proyectos.</t>
  </si>
  <si>
    <t>Se relaciona con la gestión de proyectos porque permite planificar tareas, coordinar actividades, asignar recursos y tomar decisiones al usar Microsoft Project o Project Libre.</t>
  </si>
  <si>
    <t>Comprende los fundamentos de la gestión de proyectos mediante Microsoft Project o Project Libre.</t>
  </si>
  <si>
    <t>Microcharla guiada sobre cómo los valores sostienen calidad de datos, trazabilidad y seguridad al diseñar tipos/constraints y ejecutar T-SQL.</t>
  </si>
  <si>
    <t>Aplica herramientas básicas de Microsoft Project o Project Libre para planificar tareas, tiempos y recursos.</t>
  </si>
  <si>
    <t>Fidelidad: Selección correcta de tipos (INT/SMALLINT/BIGINT, NVARCHAR, DATETIME2, DECIMAL) y su impacto en rendimiento/índices.
Honestidad: Diferenciar numéricos exactos vs aproximados; no usar FLOAT para contabilidad.
Justicia: Otorgar GRANT solo necesario (lectura sobre vistas, no DML en tablas críticas).</t>
  </si>
  <si>
    <t>Responsabilidad, Trabajo en Equipo y Toma de Decisiones</t>
  </si>
  <si>
    <t>Promueve la organización, el compromiso y la colaboración en la planificación de proyectos.</t>
  </si>
  <si>
    <t>Se aplica al definir tareas, roles, recursos, tiempos y costos en Microsoft Project.</t>
  </si>
  <si>
    <t>Comprende la planificación de tareas y el ciclo de vida de un proyecto.</t>
  </si>
  <si>
    <t>Aplica la asignación de recursos, tiempos y costos en Microsoft Project.</t>
  </si>
  <si>
    <t>otros</t>
  </si>
  <si>
    <t>Ejercicio practico en clase</t>
  </si>
  <si>
    <t>El estudiante realiza una actividad de representacion de entidades en una base de datos eligiendo los tipos de datos correctos.</t>
  </si>
  <si>
    <t>Aclaración de dudas</t>
  </si>
  <si>
    <t>Crea un plan básico de proyecto.</t>
  </si>
  <si>
    <t>Elabora un proyecto básico con tareas, roles, recursos, tiempos y costos.</t>
  </si>
  <si>
    <t>Analiza la planificación del proyecto.</t>
  </si>
  <si>
    <t>Ejercicio práctico</t>
  </si>
  <si>
    <t>Resolución de dudas</t>
  </si>
  <si>
    <t>Revisa y ajusta recursos, tiempos y costos de un proyecto de ejemplo.</t>
  </si>
  <si>
    <t>Crear un proyecto sencillo con tareas, recursos y costos estimados.</t>
  </si>
  <si>
    <t>Responsabilidad, Pensamiento Analítico y Toma de Decisiones</t>
  </si>
  <si>
    <t>Fomenta el análisis responsable de datos para apoyar decisiones informadas.</t>
  </si>
  <si>
    <t>Se aplica al interpretar costos y analizar datos en Power BI para apoyar decisiones.</t>
  </si>
  <si>
    <t xml:space="preserve">Integra datos de múltiples fuentes con prácticas de laboratorio para generar reportes que appoyen la toma de decisiones </t>
  </si>
  <si>
    <t>Disciplina</t>
  </si>
  <si>
    <t>Valor que ayudará al estudiante a poder completar entregas que presentan un reto para dicho estudiante.</t>
  </si>
  <si>
    <t>Disciplina: Se aplicará dicho valor, tomando en cuenta que es una de las últimas semanas en el curso el estudiante aprenderá a aplicar el valor para poder 
cumplir con las entregas finales en el laboratorio</t>
  </si>
  <si>
    <t>Diseñar un dashboard basico usando Power BI, Access y Excel.</t>
  </si>
  <si>
    <t>Crear un reporte sencillo en Power BI con datos, gráficos e interpretación básica.</t>
  </si>
  <si>
    <t>Respeto, Compromiso, Responsabilidad</t>
  </si>
  <si>
    <t>Aplicación práctica en la sesión: verificación de claves/relaciones en Access, captura de línea base y % avance en Project, y publicación segura de reportes en Power BI.</t>
  </si>
  <si>
    <t>Integridad de datos: registrar, consultar y reportar información tal como es (sin “maquillar” resultados). Aplica a tablas/relaciones en sql, a seguimiento real vs. plan en Project y a visualizaciones fieles en Power BI.
Responsabilidad en el seguimiento: mantener línea base y actualizar progreso con transparencia en Project; documentar transformaciones en Power Query.
Colaboración: compartir informes y dashboards con permisos adecuados; uso correcto sql server.</t>
  </si>
  <si>
    <t>El estudiante importa un dataset pequeño (CSV/Excel), realiza limpieza básica en Power Query (tipos, nulos, filtros), crea 2 medidas DAX (Total y Promedio) y arma 1 página de dashboard con 2–3 visuales (tarjetas + gráfico), listos para comentar hallazgos.</t>
  </si>
  <si>
    <t>Responsabilidad, Ética digital, Colaboración</t>
  </si>
  <si>
    <t>Aplicación práctica en la sesión: diseño responsable de dashboards, uso adecuado de filtros e interacciones y publicación segura de reportes.</t>
  </si>
  <si>
    <t>Uso responsable de la información: presentar indicadores de forma clara y sin distorsionar resultados.
Responsabilidad en la publicación: compartir dashboards con permisos adecuados y revisar la calidad de los datos mostrados.
Colaboración: construir reportes útiles para otros usuarios, facilitando la interpretación y la toma de decisiones.</t>
  </si>
  <si>
    <t>La sumatoria de los puntos de los proyectos debe superar el  60% del total de la nota, no puede ser un 100%</t>
  </si>
  <si>
    <t>1. Primer Proyecto</t>
  </si>
  <si>
    <t>Horas para realizarlo</t>
  </si>
  <si>
    <t>Titulo</t>
  </si>
  <si>
    <t>GuateInventario</t>
  </si>
  <si>
    <t>Qué tecnologías, lenguajes de programación, plataformas, hardware o software se utilizaran</t>
  </si>
  <si>
    <t>MySQL 8, MySQL Workebench, Archivos CSV, Sentencias SQL</t>
  </si>
  <si>
    <t>Descripción de lo que se realizara</t>
  </si>
  <si>
    <t>Se desarrollará una base de datos en MySQL que satisfaga los requerimientos de un sistema de control de inventario. Se diseñarán tablas con llaves primarias, foráneas y restricciones de integridad. Se cargarán datos de prueba y se elaborarán consultas SQL para responder preguntas de gestión como productos con stock bajo, entradas y salidas de mercancía, y reportes por categoría.</t>
  </si>
  <si>
    <t>2. Segundo Proyecto</t>
  </si>
  <si>
    <t>El estudiante toma el reporte creado en la sesión anterior, agrega segmentadores, configura interacciones entre visuales, aplica drill down y organiza una página interactiva lista para publicación o presentación.</t>
  </si>
  <si>
    <t>GuateAnalytics</t>
  </si>
  <si>
    <t>MySQL 8, Power BI Desktop, Conector MySQL para Power BI, MySQL Workbench</t>
  </si>
  <si>
    <t>Con el sistema de base de datos que se realizó en la primera fase, se integrará con Power BI mostrando los KPIs y reportes más importantes del sistema de inventario: stock disponible por categoría, productos con bajo inventario, movimientos de entrada y salida por periodo, y análisis de proveedores. El dashboard permitirá la toma de decisiones gerenciales de forma visual e interactiva.</t>
  </si>
  <si>
    <t>3. Tercer Proyecto</t>
  </si>
  <si>
    <t>Practicas</t>
  </si>
  <si>
    <t>Optativa</t>
  </si>
  <si>
    <t>Resolución de dudas y asignación de mejorar el dashboard agregando filtros, navegación e interactividad.</t>
  </si>
  <si>
    <t>La sumatoria de los puntos de los practicas debe no debe super el  20%</t>
  </si>
  <si>
    <t>1. Primera Practica</t>
  </si>
  <si>
    <t>Obligatoria</t>
  </si>
  <si>
    <t>2. Segunda Practica</t>
  </si>
  <si>
    <t>3. Tercera Practica</t>
  </si>
  <si>
    <t>4. Cuarta Practica</t>
  </si>
  <si>
    <t>Codigo-Nombre</t>
  </si>
  <si>
    <t>Competencias</t>
  </si>
  <si>
    <t>17 - Área Social Humanística 1</t>
  </si>
  <si>
    <t>Aplica los conocimientos de su disciplina en la elaboración, fundamentación
 y defensa de argumentos para prevenir y resolver problemas complejos en
 su campo profesional, identificando y aplicando innovaciones.</t>
  </si>
  <si>
    <t>101 - Área Matemática Básica 1</t>
  </si>
  <si>
    <t>5. Quinta Practica</t>
  </si>
  <si>
    <t>Aplica estándares de calidad, eficiencia y seguridad en la implementación
 adecuada de soluciones de software, hardware y TIC en general.</t>
  </si>
  <si>
    <t>5 - Técnicas de Estudio e Investigación</t>
  </si>
  <si>
    <t>Demuestra pensamiento crítico, actitud investigativa y rigor analítico en el
 planteamiento y la resolución de problemas complejos.</t>
  </si>
  <si>
    <t>39 - Deportes 1</t>
  </si>
  <si>
    <t>6 - Idioma Tecnico 1</t>
  </si>
  <si>
    <t>Domina diversos recursos de comunicación con el objetivo de presentar
 adecuadamente sus propuestas a variados tipos de audiencias, en idioma
 español, inglés e idealmente en un tercer idioma acorde a las necesidades
 globales.</t>
  </si>
  <si>
    <t>19 - Área Social Humanística 2</t>
  </si>
  <si>
    <t>Identifica sus necesidades de actualización, capacitación y formación,
 durante su proceso formativo y en el ejercicio profesional, y busca los medios
 para cubrirlas por medios formales e informales, nacionales e
 internacionales, presenciales y en línea.</t>
  </si>
  <si>
    <t>Construye soluciones integrales trabajando en forma colaborativa y
 propositiva en equipos interdisciplinarios, en forma presencial o utilizando
 plataformas virtuales.</t>
  </si>
  <si>
    <t>103 - Área Matemática Básica 2</t>
  </si>
  <si>
    <t>Comunica a diversos públicos, información de su campo profesional, en
 varios lenguajes y formatos de manera asertiva, clara, rigurosa y precisa, con
 el uso apropiado de recursos tecnológicos.</t>
  </si>
  <si>
    <t>Actualiza permanente sus conocimientos relacionados con TIC en general,
 apoyándose en las estrategias de aprendizaje apropiadas.</t>
  </si>
  <si>
    <t>960 - Matemática Para Computación 1</t>
  </si>
  <si>
    <t>Se comunica correctamente en su lengua oficial y utiliza una lengua
 extranjera con el dominio requerido para el ejercicio de su profesión.</t>
  </si>
  <si>
    <t>La sumatoria de los puntos de los practicas debe no debe super el  10% de la nota</t>
  </si>
  <si>
    <t>147 - Física Básica</t>
  </si>
  <si>
    <t>Lidera y colabora proactivamente en equipos de trabajo y en comunidades
 profesionales para el logro de objetivos y mejoramiento de la calidad de vida.</t>
  </si>
  <si>
    <t>Tarea de fortalecimiento académico</t>
  </si>
  <si>
    <t>40 - Deportes 2</t>
  </si>
  <si>
    <t>6. Sexta Practica</t>
  </si>
  <si>
    <t>8 - Idioma Técnico 2</t>
  </si>
  <si>
    <t>795 - Logica de Sitemas</t>
  </si>
  <si>
    <t>962 - Matemática Para Computación 2</t>
  </si>
  <si>
    <t>770 - Introducción a ala programación y computación 1</t>
  </si>
  <si>
    <t>107 - Área Matemática Intermedia 1</t>
  </si>
  <si>
    <t>150 - Fisica 1</t>
  </si>
  <si>
    <t>1 - Ética Profesional</t>
  </si>
  <si>
    <t>9 - Idioma Técnico 3</t>
  </si>
  <si>
    <t>Obligatoria se debe dejar en la sesion de diagnistico</t>
  </si>
  <si>
    <t>796 - Lenguajes Formales y de Programación</t>
  </si>
  <si>
    <t>771 - Introducción a la Programación y Computación 2</t>
  </si>
  <si>
    <t>112 - Área Matemática Intermedia 2</t>
  </si>
  <si>
    <t>114 - Área Matemática Intermedia 3</t>
  </si>
  <si>
    <t>152 - Física 2</t>
  </si>
  <si>
    <t>10 - Lógica</t>
  </si>
  <si>
    <t>11 - Idioma Técnico 4</t>
  </si>
  <si>
    <t>2025 - Prácticas Iniciales</t>
  </si>
  <si>
    <t>732 - Estadística 1</t>
  </si>
  <si>
    <t>777 - Organización de Lenguajes y Compiladores 1</t>
  </si>
  <si>
    <t>964 - Organización Computacional</t>
  </si>
  <si>
    <t>772 - Estructuras de Datos</t>
  </si>
  <si>
    <t>116 - Matemática Aplicada 3</t>
  </si>
  <si>
    <t>118 - Matemática Aplicada 1</t>
  </si>
  <si>
    <t>18 - Filosofía de la Ciencia</t>
  </si>
  <si>
    <t>722 - Teoría de Sistemas 1</t>
  </si>
  <si>
    <t>601 - Investigación de Operaciones 1</t>
  </si>
  <si>
    <t>14 - Economía</t>
  </si>
  <si>
    <t>781 - Organización de Lenguajes y Compiladores 2</t>
  </si>
  <si>
    <t>778 - Arquitectura de Computadoras y Ensambladores 1</t>
  </si>
  <si>
    <t>773 - Manejo e Implementación de Archivos</t>
  </si>
  <si>
    <t>122 - Matemática Aplicada 4</t>
  </si>
  <si>
    <t>120 - Matemática Aplicada 2</t>
  </si>
  <si>
    <t>200 - Ingeniería Eléctrica 1</t>
  </si>
  <si>
    <t>724 - Teoría de Sistemas 2</t>
  </si>
  <si>
    <t>603 - Investigación de Operaciones 2</t>
  </si>
  <si>
    <t>734 - Estadística 2</t>
  </si>
  <si>
    <t>281 - Sistemas Operativos 1</t>
  </si>
  <si>
    <t>779 - Arquitectura de Computadoras y Ensambladores 2</t>
  </si>
  <si>
    <t>970 - Redes de Computadoras 1</t>
  </si>
  <si>
    <t>774 - Sistemas de Bases de Datos 1</t>
  </si>
  <si>
    <t>2036 - Prácticas Intermedias</t>
  </si>
  <si>
    <t>285 - Sistemas Operativos 2</t>
  </si>
  <si>
    <t>Editor de Textos</t>
  </si>
  <si>
    <t>975 - Redes de Computadoras 2</t>
  </si>
  <si>
    <t>775 - Sistemas de Bases de Datos 2</t>
  </si>
  <si>
    <t>283 - Análisis y Diseño de Sistemas 1</t>
  </si>
  <si>
    <t>797 - Seminario de Sistemas 1</t>
  </si>
  <si>
    <t>700 - Ingeniería Económica 1</t>
  </si>
  <si>
    <t>729 - Modelación y Simulación 1</t>
  </si>
  <si>
    <t>Que conocimientos base y competencias esenciales se deben reforzar que permitan al estudiante afrontar con mayor solidez los contenidos del curso</t>
  </si>
  <si>
    <t>786 - Sistemas Organizacionales y Gerenciales 1</t>
  </si>
  <si>
    <t>972 - Inteligencia Artificial 1</t>
  </si>
  <si>
    <t>966 - Seguridad y Auditoría de Redes de Computadoras</t>
  </si>
  <si>
    <t>785 - Análisis y Diseño de Sistemas 2</t>
  </si>
  <si>
    <t>Aprender las carecteristicas  principales de las herramientas que son utilizadas para analisis de datos</t>
  </si>
  <si>
    <t>7. Septima Practica</t>
  </si>
  <si>
    <t>798 - Seminario de Sistemas 2</t>
  </si>
  <si>
    <t>788 - Sistemas Aplicados 1</t>
  </si>
  <si>
    <t>776 - Bases de Datos Avanzadas</t>
  </si>
  <si>
    <t>2009 - Prácticas Finales Ingeniería Ciencias y Sistemas</t>
  </si>
  <si>
    <t>720 - Modelación y Simulación 2</t>
  </si>
  <si>
    <t>787 - Sistemas Organizacionales y Gerenciales 2</t>
  </si>
  <si>
    <t>790 - Emprendedores de Negocios Informáticos</t>
  </si>
  <si>
    <t>968 - Inteligencia Artificial 2</t>
  </si>
  <si>
    <t>974 - Redes de Nueva Generación</t>
  </si>
  <si>
    <t>780 - Software Avanzado</t>
  </si>
  <si>
    <t>789 - Sistemas Aplicados 2</t>
  </si>
  <si>
    <t>735 - Auditoría de Proyectos de Software</t>
  </si>
  <si>
    <t>1. Primera Tarea</t>
  </si>
  <si>
    <t>7999 - Seminario de Investigación EPS Sistemas</t>
  </si>
  <si>
    <t>799 - Seminario de Investigación</t>
  </si>
  <si>
    <t>90 - Programacion de Computadoras 1</t>
  </si>
  <si>
    <t>92 - Programacion de Computadoras 2</t>
  </si>
  <si>
    <t>768 - Algoritmos</t>
  </si>
  <si>
    <t>0089 - Comunicación Asertiva</t>
  </si>
  <si>
    <t>Investigación</t>
  </si>
  <si>
    <t>Realizar un cuadro comparativo de los diferentes tipos de bases de datos mostrando sus caracteristicas, ventajas y desventajas.</t>
  </si>
  <si>
    <t>2. Segunda Tarea</t>
  </si>
  <si>
    <t>Gestor de base de datos</t>
  </si>
  <si>
    <t>Mysql, herramientas para grabar pantalla de computadora</t>
  </si>
  <si>
    <t xml:space="preserve">Realizar un video corto donde describa la instalación de el gestor de base de datos Mysql. </t>
  </si>
  <si>
    <t>3. Tercera Tarea</t>
  </si>
  <si>
    <t>Diagrama de Project Manager</t>
  </si>
  <si>
    <t>Project Manager o Project Libre</t>
  </si>
  <si>
    <t>Realizar un proyecto en Project manager en donde se describa las distintas tareas para realizar  el proyecto de la fase 1</t>
  </si>
  <si>
    <t>4. Cuarta Tarea</t>
  </si>
  <si>
    <t>5. Quinta Tarea</t>
  </si>
  <si>
    <t>6. Sexta Tarea</t>
  </si>
  <si>
    <t>7. Septima Tarea</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</si>
</sst>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color theme="1"/>
      <name val="Arial"/>
    </font>
    <font>
      <b/>
      <sz val="12.0"/>
      <color rgb="FFFF6D01"/>
      <name val="Arial"/>
    </font>
    <font>
      <b/>
      <color theme="1"/>
      <name val="Arial"/>
    </font>
    <font>
      <color rgb="FFFFFFFF"/>
      <name val="Arial"/>
    </font>
    <font>
      <b/>
      <sz val="12.0"/>
      <color theme="8"/>
      <name val="Arial"/>
    </font>
    <font>
      <b/>
      <sz val="12.0"/>
      <color rgb="FFFBBC04"/>
      <name val="Arial"/>
    </font>
    <font>
      <sz val="12.0"/>
      <color rgb="FFB7B7B7"/>
      <name val="Arial"/>
    </font>
    <font>
      <b/>
      <sz val="12.0"/>
      <color theme="1"/>
      <name val="Arial"/>
    </font>
    <font>
      <color rgb="FFB7B7B7"/>
      <name val="Arial"/>
    </font>
    <font>
      <b/>
      <sz val="11.0"/>
      <color theme="1"/>
      <name val="Arial"/>
    </font>
    <font/>
    <font>
      <sz val="12.0"/>
      <color theme="1"/>
      <name val="Arial"/>
    </font>
    <font>
      <color theme="1"/>
      <name val="Arial"/>
      <scheme val="minor"/>
    </font>
    <font>
      <sz val="12.0"/>
      <color rgb="FF404040"/>
      <name val="Inter"/>
    </font>
    <font>
      <b/>
      <sz val="13.0"/>
      <color theme="4"/>
      <name val="Arial"/>
    </font>
    <font>
      <b/>
      <sz val="12.0"/>
      <color theme="4"/>
      <name val="Arial"/>
    </font>
    <font>
      <sz val="11.0"/>
      <color theme="1"/>
      <name val="Aptos Narrow"/>
    </font>
    <font>
      <sz val="11.0"/>
      <color theme="1"/>
      <name val="Arial"/>
    </font>
    <font>
      <color rgb="FF999999"/>
      <name val="Arial"/>
    </font>
    <font>
      <b/>
      <sz val="13.0"/>
      <color rgb="FF4285F4"/>
      <name val="Arial"/>
    </font>
    <font>
      <b/>
      <sz val="12.0"/>
      <color rgb="FF4285F4"/>
      <name val="Arial"/>
    </font>
    <font>
      <u/>
      <color rgb="FF0000FF"/>
      <name val="Arial"/>
    </font>
    <font>
      <b/>
      <sz val="12.0"/>
      <color rgb="FFFFFFFF"/>
      <name val="Arial"/>
    </font>
    <font>
      <color rgb="FFCCCCCC"/>
      <name val="Arial"/>
    </font>
    <font>
      <color rgb="FF000000"/>
      <name val="Arial"/>
    </font>
    <font>
      <color rgb="FFD9D9D9"/>
      <name val="Arial"/>
    </font>
  </fonts>
  <fills count="19">
    <fill>
      <patternFill patternType="none"/>
    </fill>
    <fill>
      <patternFill patternType="lightGray"/>
    </fill>
    <fill>
      <patternFill patternType="solid">
        <fgColor rgb="FFEFEFEF"/>
        <bgColor rgb="FFEFEFEF"/>
      </patternFill>
    </fill>
    <fill>
      <patternFill patternType="solid">
        <fgColor rgb="FFF3F3F3"/>
        <bgColor rgb="FFF3F3F3"/>
      </patternFill>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rgb="FFEAD1DC"/>
        <bgColor rgb="FFEAD1DC"/>
      </patternFill>
    </fill>
    <fill>
      <patternFill patternType="solid">
        <fgColor rgb="FFCFE2F3"/>
        <bgColor rgb="FFCFE2F3"/>
      </patternFill>
    </fill>
    <fill>
      <patternFill patternType="solid">
        <fgColor rgb="FFFFFF00"/>
        <bgColor rgb="FFFFFF00"/>
      </patternFill>
    </fill>
    <fill>
      <patternFill patternType="solid">
        <fgColor rgb="FFFF0000"/>
        <bgColor rgb="FFFF0000"/>
      </patternFill>
    </fill>
    <fill>
      <patternFill patternType="solid">
        <fgColor rgb="FFFF00FF"/>
        <bgColor rgb="FFFF00FF"/>
      </patternFill>
    </fill>
    <fill>
      <patternFill patternType="solid">
        <fgColor rgb="FF00FF00"/>
        <bgColor rgb="FF00FF00"/>
      </patternFill>
    </fill>
    <fill>
      <patternFill patternType="solid">
        <fgColor rgb="FF4A86E8"/>
        <bgColor rgb="FF4A86E8"/>
      </patternFill>
    </fill>
    <fill>
      <patternFill patternType="solid">
        <fgColor rgb="FFD9EAD3"/>
        <bgColor rgb="FFD9EAD3"/>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25">
    <border/>
    <border>
      <left style="thin">
        <color rgb="FF000000"/>
      </left>
      <right style="thin">
        <color rgb="FF000000"/>
      </right>
      <top style="thin">
        <color rgb="FF000000"/>
      </top>
      <bottom style="thin">
        <color rgb="FF000000"/>
      </bottom>
    </border>
    <border>
      <left style="double">
        <color rgb="FF434343"/>
      </left>
      <right style="double">
        <color rgb="FF434343"/>
      </right>
      <top style="double">
        <color rgb="FF434343"/>
      </top>
      <bottom style="double">
        <color rgb="FF434343"/>
      </bottom>
    </border>
    <border>
      <left style="double">
        <color rgb="FF434343"/>
      </left>
      <top style="double">
        <color rgb="FF434343"/>
      </top>
      <bottom style="double">
        <color rgb="FF434343"/>
      </bottom>
    </border>
    <border>
      <top style="double">
        <color rgb="FF434343"/>
      </top>
      <bottom style="double">
        <color rgb="FF434343"/>
      </bottom>
    </border>
    <border>
      <right style="double">
        <color rgb="FF434343"/>
      </right>
      <top style="double">
        <color rgb="FF434343"/>
      </top>
      <bottom style="double">
        <color rgb="FF434343"/>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double">
        <color rgb="FF434343"/>
      </left>
      <right style="double">
        <color rgb="FF434343"/>
      </right>
      <top style="double">
        <color rgb="FF434343"/>
      </top>
    </border>
    <border>
      <left style="double">
        <color rgb="FF434343"/>
      </left>
      <top style="double">
        <color rgb="FF434343"/>
      </top>
    </border>
    <border>
      <top style="double">
        <color rgb="FF434343"/>
      </top>
    </border>
    <border>
      <right style="double">
        <color rgb="FF434343"/>
      </right>
      <top style="double">
        <color rgb="FF434343"/>
      </top>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top style="dotted">
        <color rgb="FF000000"/>
      </top>
      <bottom style="dotted">
        <color rgb="FF000000"/>
      </bottom>
    </border>
    <border>
      <right style="dotted">
        <color rgb="FF000000"/>
      </right>
      <top style="dotted">
        <color rgb="FF000000"/>
      </top>
      <bottom style="dotted">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Font="1"/>
    <xf borderId="0" fillId="0" fontId="3" numFmtId="0" xfId="0" applyFont="1"/>
    <xf borderId="0" fillId="0" fontId="4" numFmtId="0" xfId="0" applyFont="1"/>
    <xf borderId="0" fillId="0" fontId="1" numFmtId="0" xfId="0" applyAlignment="1" applyFont="1">
      <alignment vertical="bottom"/>
    </xf>
    <xf borderId="0" fillId="0" fontId="5" numFmtId="0" xfId="0" applyFont="1"/>
    <xf borderId="0" fillId="0" fontId="6" numFmtId="0" xfId="0" applyAlignment="1" applyFont="1">
      <alignment horizontal="center" vertical="bottom"/>
    </xf>
    <xf borderId="0" fillId="0" fontId="3" numFmtId="0" xfId="0" applyAlignment="1" applyFont="1">
      <alignment readingOrder="0"/>
    </xf>
    <xf borderId="0" fillId="0" fontId="3" numFmtId="0" xfId="0" applyAlignment="1" applyFont="1">
      <alignment shrinkToFit="0" wrapText="1"/>
    </xf>
    <xf borderId="0" fillId="0" fontId="1" numFmtId="0" xfId="0" applyFont="1"/>
    <xf borderId="0" fillId="0" fontId="7" numFmtId="0" xfId="0" applyAlignment="1" applyFont="1">
      <alignment shrinkToFit="0" wrapText="1"/>
    </xf>
    <xf borderId="1" fillId="0" fontId="3" numFmtId="0" xfId="0" applyBorder="1" applyFont="1"/>
    <xf borderId="2" fillId="2" fontId="8" numFmtId="0" xfId="0" applyAlignment="1" applyBorder="1" applyFill="1" applyFont="1">
      <alignment shrinkToFit="0" vertical="bottom" wrapText="1"/>
    </xf>
    <xf borderId="0" fillId="0" fontId="9" numFmtId="0" xfId="0" applyFont="1"/>
    <xf borderId="0" fillId="0" fontId="10" numFmtId="0" xfId="0" applyAlignment="1" applyFont="1">
      <alignment vertical="bottom"/>
    </xf>
    <xf borderId="3" fillId="2" fontId="8" numFmtId="0" xfId="0" applyAlignment="1" applyBorder="1" applyFill="1" applyFont="1">
      <alignment shrinkToFit="0" vertical="bottom" wrapText="1"/>
    </xf>
    <xf borderId="4" fillId="0" fontId="11" numFmtId="0" xfId="0" applyBorder="1" applyFont="1"/>
    <xf borderId="1" fillId="0" fontId="10" numFmtId="0" xfId="0" applyAlignment="1" applyBorder="1" applyFont="1">
      <alignment vertical="bottom"/>
    </xf>
    <xf borderId="5" fillId="0" fontId="11" numFmtId="0" xfId="0" applyBorder="1" applyFont="1"/>
    <xf borderId="1" fillId="0" fontId="10" numFmtId="0" xfId="0" applyAlignment="1" applyBorder="1" applyFont="1">
      <alignment shrinkToFit="0" vertical="bottom" wrapText="1"/>
    </xf>
    <xf borderId="0" fillId="3" fontId="1" numFmtId="0" xfId="0" applyAlignment="1" applyFill="1" applyFont="1">
      <alignment shrinkToFit="0" vertical="bottom" wrapText="1"/>
    </xf>
    <xf borderId="2" fillId="0" fontId="12" numFmtId="0" xfId="0" applyAlignment="1" applyBorder="1" applyFont="1">
      <alignment shrinkToFit="0" vertical="bottom" wrapText="1"/>
    </xf>
    <xf borderId="6" fillId="0" fontId="1" numFmtId="0" xfId="0" applyBorder="1" applyFont="1"/>
    <xf borderId="1" fillId="0" fontId="1" numFmtId="0" xfId="0" applyBorder="1" applyFont="1"/>
    <xf borderId="7" fillId="0" fontId="11" numFmtId="0" xfId="0" applyBorder="1" applyFont="1"/>
    <xf borderId="8" fillId="0" fontId="11" numFmtId="0" xfId="0" applyBorder="1" applyFont="1"/>
    <xf borderId="1" fillId="0" fontId="1" numFmtId="0" xfId="0" applyAlignment="1" applyBorder="1" applyFont="1">
      <alignment readingOrder="0" shrinkToFit="0" wrapText="0"/>
    </xf>
    <xf borderId="1" fillId="0" fontId="1" numFmtId="0" xfId="0" applyAlignment="1" applyBorder="1" applyFont="1">
      <alignment vertical="bottom"/>
    </xf>
    <xf borderId="2" fillId="0" fontId="1" numFmtId="0" xfId="0" applyAlignment="1" applyBorder="1" applyFont="1">
      <alignment horizontal="right" vertical="bottom"/>
    </xf>
    <xf borderId="1" fillId="0" fontId="1" numFmtId="0" xfId="0" applyAlignment="1" applyBorder="1" applyFont="1">
      <alignment readingOrder="0"/>
    </xf>
    <xf borderId="1" fillId="0" fontId="1" numFmtId="0" xfId="0" applyAlignment="1" applyBorder="1" applyFont="1">
      <alignment vertical="bottom"/>
    </xf>
    <xf borderId="1" fillId="0" fontId="13" numFmtId="0" xfId="0" applyBorder="1" applyFont="1"/>
    <xf borderId="6" fillId="4" fontId="14" numFmtId="0" xfId="0" applyAlignment="1" applyBorder="1" applyFill="1" applyFont="1">
      <alignment horizontal="center" shrinkToFit="0" vertical="bottom" wrapText="1"/>
    </xf>
    <xf borderId="2" fillId="0" fontId="1" numFmtId="0" xfId="0" applyAlignment="1" applyBorder="1" applyFont="1">
      <alignment vertical="bottom"/>
    </xf>
    <xf borderId="3" fillId="0" fontId="1" numFmtId="0" xfId="0" applyAlignment="1" applyBorder="1" applyFont="1">
      <alignment vertical="bottom"/>
    </xf>
    <xf borderId="0" fillId="3" fontId="1" numFmtId="0" xfId="0" applyAlignment="1" applyFill="1" applyFont="1">
      <alignment horizontal="right" vertical="bottom"/>
    </xf>
    <xf borderId="1" fillId="0" fontId="1" numFmtId="0" xfId="0" applyAlignment="1" applyBorder="1" applyFont="1">
      <alignment vertical="bottom"/>
    </xf>
    <xf borderId="2" fillId="0" fontId="12" numFmtId="0" xfId="0" applyAlignment="1" applyBorder="1" applyFont="1">
      <alignment vertical="bottom"/>
    </xf>
    <xf borderId="0" fillId="0" fontId="1" numFmtId="0" xfId="0" applyAlignment="1" applyFont="1">
      <alignment horizontal="center" shrinkToFit="0" vertical="center" wrapText="1"/>
    </xf>
    <xf borderId="1" fillId="5" fontId="14" numFmtId="0" xfId="0" applyAlignment="1" applyBorder="1" applyFill="1" applyFont="1">
      <alignment horizontal="center" shrinkToFit="0" vertical="bottom" wrapText="1"/>
    </xf>
    <xf borderId="0" fillId="0" fontId="15" numFmtId="0" xfId="0" applyFont="1"/>
    <xf borderId="0" fillId="0" fontId="16" numFmtId="0" xfId="0" applyAlignment="1" applyFont="1">
      <alignment shrinkToFit="0" wrapText="1"/>
    </xf>
    <xf borderId="1" fillId="0" fontId="17" numFmtId="0" xfId="0" applyAlignment="1" applyBorder="1" applyFont="1">
      <alignment vertical="bottom"/>
    </xf>
    <xf borderId="6" fillId="0" fontId="1" numFmtId="0" xfId="0" applyAlignment="1" applyBorder="1" applyFont="1">
      <alignment readingOrder="0" vertical="bottom"/>
    </xf>
    <xf borderId="1" fillId="0" fontId="18" numFmtId="0" xfId="0" applyAlignment="1" applyBorder="1" applyFont="1">
      <alignment readingOrder="0" shrinkToFit="0" vertical="bottom" wrapText="1"/>
    </xf>
    <xf borderId="0" fillId="5" fontId="1" numFmtId="0" xfId="0" applyAlignment="1" applyFill="1" applyFont="1">
      <alignment vertical="bottom"/>
    </xf>
    <xf borderId="0" fillId="6" fontId="4" numFmtId="0" xfId="0" applyFill="1" applyFont="1"/>
    <xf borderId="1" fillId="0" fontId="1" numFmtId="0" xfId="0" applyAlignment="1" applyBorder="1" applyFont="1">
      <alignment readingOrder="0" shrinkToFit="0" vertical="bottom" wrapText="1"/>
    </xf>
    <xf borderId="0" fillId="0" fontId="19" numFmtId="0" xfId="0" applyFont="1"/>
    <xf borderId="1" fillId="7" fontId="1" numFmtId="0" xfId="0" applyAlignment="1" applyBorder="1" applyFill="1" applyFont="1">
      <alignment shrinkToFit="0" vertical="bottom" wrapText="1"/>
    </xf>
    <xf borderId="9" fillId="0" fontId="12" numFmtId="0" xfId="0" applyAlignment="1" applyBorder="1" applyFont="1">
      <alignment vertical="bottom"/>
    </xf>
    <xf borderId="6" fillId="0" fontId="1" numFmtId="0" xfId="0" applyAlignment="1" applyBorder="1" applyFont="1">
      <alignment vertical="bottom"/>
    </xf>
    <xf borderId="1" fillId="5" fontId="14" numFmtId="0" xfId="0" applyAlignment="1" applyBorder="1" applyFill="1" applyFont="1">
      <alignment horizontal="center" vertical="bottom"/>
    </xf>
    <xf borderId="9" fillId="0" fontId="1" numFmtId="0" xfId="0" applyAlignment="1" applyBorder="1" applyFont="1">
      <alignment horizontal="right" vertical="bottom"/>
    </xf>
    <xf borderId="1" fillId="7" fontId="1" numFmtId="0" xfId="0" applyAlignment="1" applyBorder="1" applyFill="1" applyFont="1">
      <alignment shrinkToFit="0" wrapText="1"/>
    </xf>
    <xf borderId="10" fillId="0" fontId="1" numFmtId="0" xfId="0" applyAlignment="1" applyBorder="1" applyFont="1">
      <alignment vertical="bottom"/>
    </xf>
    <xf borderId="11" fillId="0" fontId="11" numFmtId="0" xfId="0" applyBorder="1" applyFont="1"/>
    <xf borderId="12" fillId="0" fontId="11" numFmtId="0" xfId="0" applyBorder="1" applyFont="1"/>
    <xf borderId="1" fillId="7" fontId="1" numFmtId="0" xfId="0" applyBorder="1" applyFill="1" applyFont="1"/>
    <xf borderId="1" fillId="7" fontId="8" numFmtId="0" xfId="0" applyAlignment="1" applyBorder="1" applyFill="1" applyFont="1">
      <alignment shrinkToFit="0" vertical="bottom" wrapText="1"/>
    </xf>
    <xf borderId="6" fillId="0" fontId="1" numFmtId="0" xfId="0" applyAlignment="1" applyBorder="1" applyFont="1">
      <alignment readingOrder="0"/>
    </xf>
    <xf borderId="1" fillId="0" fontId="12" numFmtId="0" xfId="0" applyAlignment="1" applyBorder="1" applyFont="1">
      <alignment horizontal="center" vertical="bottom"/>
    </xf>
    <xf borderId="0" fillId="0" fontId="20" numFmtId="0" xfId="0" applyFont="1"/>
    <xf borderId="1" fillId="7" fontId="1" numFmtId="0" xfId="0" applyAlignment="1" applyBorder="1" applyFill="1" applyFont="1">
      <alignment horizontal="right" vertical="bottom"/>
    </xf>
    <xf borderId="1" fillId="0" fontId="18" numFmtId="0" xfId="0" applyAlignment="1" applyBorder="1" applyFont="1">
      <alignment readingOrder="0" vertical="bottom"/>
    </xf>
    <xf borderId="13" fillId="8" fontId="8" numFmtId="0" xfId="0" applyAlignment="1" applyBorder="1" applyFill="1" applyFont="1">
      <alignment shrinkToFit="0" vertical="bottom" wrapText="1"/>
    </xf>
    <xf borderId="6" fillId="0" fontId="1" numFmtId="0" xfId="0" applyAlignment="1" applyBorder="1" applyFont="1">
      <alignment shrinkToFit="0" vertical="bottom" wrapText="1"/>
    </xf>
    <xf borderId="6" fillId="0" fontId="1" numFmtId="0" xfId="0" applyAlignment="1" applyBorder="1" applyFont="1">
      <alignment horizontal="right" vertical="bottom"/>
    </xf>
    <xf borderId="14" fillId="8" fontId="1" numFmtId="0" xfId="0" applyAlignment="1" applyBorder="1" applyFill="1" applyFont="1">
      <alignment shrinkToFit="0" vertical="bottom" wrapText="1"/>
    </xf>
    <xf borderId="0" fillId="0" fontId="21" numFmtId="0" xfId="0" applyAlignment="1" applyFont="1">
      <alignment shrinkToFit="0" wrapText="1"/>
    </xf>
    <xf borderId="15" fillId="0" fontId="11" numFmtId="0" xfId="0" applyBorder="1" applyFont="1"/>
    <xf borderId="16" fillId="0" fontId="11" numFmtId="0" xfId="0" applyBorder="1" applyFont="1"/>
    <xf borderId="1" fillId="0" fontId="1" numFmtId="0" xfId="0" applyAlignment="1" applyBorder="1" applyFont="1">
      <alignment readingOrder="0" shrinkToFit="0" wrapText="1"/>
    </xf>
    <xf borderId="0" fillId="0" fontId="13" numFmtId="0" xfId="0" applyAlignment="1" applyFont="1">
      <alignment readingOrder="0"/>
    </xf>
    <xf borderId="1" fillId="9" fontId="10" numFmtId="0" xfId="0" applyAlignment="1" applyBorder="1" applyFill="1" applyFont="1">
      <alignment horizontal="center" vertical="bottom"/>
    </xf>
    <xf borderId="6" fillId="9" fontId="10" numFmtId="0" xfId="0" applyAlignment="1" applyBorder="1" applyFill="1" applyFont="1">
      <alignment horizontal="center" vertical="bottom"/>
    </xf>
    <xf borderId="0" fillId="0" fontId="13" numFmtId="0" xfId="0" applyFont="1"/>
    <xf borderId="1" fillId="9" fontId="10" numFmtId="0" xfId="0" applyAlignment="1" applyBorder="1" applyFill="1" applyFont="1">
      <alignment horizontal="center" shrinkToFit="0" vertical="bottom" wrapText="1"/>
    </xf>
    <xf borderId="6" fillId="9" fontId="10" numFmtId="0" xfId="0" applyAlignment="1" applyBorder="1" applyFill="1" applyFont="1">
      <alignment horizontal="center" shrinkToFit="0" vertical="bottom" wrapText="1"/>
    </xf>
    <xf borderId="1" fillId="0" fontId="1" numFmtId="0" xfId="0" applyAlignment="1" applyBorder="1" applyFont="1">
      <alignment horizontal="right" vertical="bottom"/>
    </xf>
    <xf borderId="1" fillId="10" fontId="1" numFmtId="0" xfId="0" applyAlignment="1" applyBorder="1" applyFill="1" applyFont="1">
      <alignment vertical="bottom"/>
    </xf>
    <xf borderId="6" fillId="11" fontId="1" numFmtId="0" xfId="0" applyAlignment="1" applyBorder="1" applyFill="1" applyFont="1">
      <alignment vertical="bottom"/>
    </xf>
    <xf borderId="6" fillId="0" fontId="22" numFmtId="0" xfId="0" applyAlignment="1" applyBorder="1" applyFont="1">
      <alignment readingOrder="0" vertical="bottom"/>
    </xf>
    <xf borderId="1" fillId="12" fontId="1" numFmtId="0" xfId="0" applyAlignment="1" applyBorder="1" applyFill="1" applyFont="1">
      <alignment vertical="bottom"/>
    </xf>
    <xf borderId="6" fillId="13" fontId="1" numFmtId="0" xfId="0" applyAlignment="1" applyBorder="1" applyFill="1" applyFont="1">
      <alignment vertical="bottom"/>
    </xf>
    <xf borderId="1" fillId="14" fontId="1" numFmtId="0" xfId="0" applyAlignment="1" applyBorder="1" applyFill="1" applyFont="1">
      <alignment vertical="bottom"/>
    </xf>
    <xf borderId="1" fillId="5" fontId="1" numFmtId="0" xfId="0" applyAlignment="1" applyBorder="1" applyFill="1" applyFont="1">
      <alignment vertical="bottom"/>
    </xf>
    <xf borderId="6" fillId="15" fontId="18" numFmtId="0" xfId="0" applyAlignment="1" applyBorder="1" applyFill="1" applyFont="1">
      <alignment horizontal="center" shrinkToFit="0" vertical="bottom" wrapText="1"/>
    </xf>
    <xf borderId="6" fillId="11" fontId="1" numFmtId="0" xfId="0" applyAlignment="1" applyBorder="1" applyFill="1" applyFont="1">
      <alignment vertical="bottom"/>
    </xf>
    <xf borderId="1" fillId="12" fontId="1" numFmtId="0" xfId="0" applyAlignment="1" applyBorder="1" applyFill="1" applyFont="1">
      <alignment vertical="bottom"/>
    </xf>
    <xf borderId="6" fillId="13" fontId="1" numFmtId="0" xfId="0" applyAlignment="1" applyBorder="1" applyFill="1" applyFont="1">
      <alignment vertical="bottom"/>
    </xf>
    <xf borderId="1" fillId="0" fontId="13" numFmtId="0" xfId="0" applyAlignment="1" applyBorder="1" applyFont="1">
      <alignment readingOrder="0"/>
    </xf>
    <xf borderId="6" fillId="15" fontId="1" numFmtId="0" xfId="0" applyAlignment="1" applyBorder="1" applyFill="1" applyFont="1">
      <alignment horizontal="center"/>
    </xf>
    <xf borderId="6" fillId="3" fontId="1" numFmtId="0" xfId="0" applyAlignment="1" applyBorder="1" applyFill="1" applyFont="1">
      <alignment vertical="bottom"/>
    </xf>
    <xf borderId="1" fillId="0" fontId="1" numFmtId="0" xfId="0" applyAlignment="1" applyBorder="1" applyFont="1">
      <alignment shrinkToFit="0" wrapText="1"/>
    </xf>
    <xf borderId="17" fillId="0" fontId="1" numFmtId="0" xfId="0" applyAlignment="1" applyBorder="1" applyFont="1">
      <alignment readingOrder="0" shrinkToFit="0" vertical="bottom" wrapText="1"/>
    </xf>
    <xf borderId="18" fillId="0" fontId="11" numFmtId="0" xfId="0" applyBorder="1" applyFont="1"/>
    <xf borderId="19" fillId="0" fontId="11" numFmtId="0" xfId="0" applyBorder="1" applyFont="1"/>
    <xf borderId="20" fillId="0" fontId="11" numFmtId="0" xfId="0" applyBorder="1" applyFont="1"/>
    <xf borderId="21" fillId="0" fontId="11" numFmtId="0" xfId="0" applyBorder="1" applyFont="1"/>
    <xf borderId="22" fillId="0" fontId="11" numFmtId="0" xfId="0" applyBorder="1" applyFont="1"/>
    <xf borderId="6" fillId="0" fontId="1" numFmtId="0" xfId="0" applyAlignment="1" applyBorder="1" applyFont="1">
      <alignment horizontal="center"/>
    </xf>
    <xf borderId="0" fillId="0" fontId="21" numFmtId="0" xfId="0" applyFont="1"/>
    <xf borderId="0" fillId="16" fontId="23" numFmtId="0" xfId="0" applyFill="1" applyFont="1"/>
    <xf borderId="1" fillId="7" fontId="1" numFmtId="0" xfId="0" applyAlignment="1" applyBorder="1" applyFill="1" applyFont="1">
      <alignment vertical="bottom"/>
    </xf>
    <xf borderId="6" fillId="0" fontId="1" numFmtId="0" xfId="0" applyAlignment="1" applyBorder="1" applyFont="1">
      <alignment horizontal="right" readingOrder="0" vertical="bottom"/>
    </xf>
    <xf borderId="6" fillId="7" fontId="1" numFmtId="0" xfId="0" applyAlignment="1" applyBorder="1" applyFill="1" applyFont="1">
      <alignment vertical="bottom"/>
    </xf>
    <xf borderId="17" fillId="0" fontId="1" numFmtId="0" xfId="0" applyAlignment="1" applyBorder="1" applyFont="1">
      <alignment vertical="bottom"/>
    </xf>
    <xf borderId="0" fillId="16" fontId="23" numFmtId="0" xfId="0" applyAlignment="1" applyFill="1" applyFont="1">
      <alignment readingOrder="0"/>
    </xf>
    <xf borderId="6" fillId="7" fontId="1" numFmtId="0" xfId="0" applyBorder="1" applyFill="1" applyFont="1"/>
    <xf borderId="17" fillId="0" fontId="1" numFmtId="0" xfId="0" applyAlignment="1" applyBorder="1" applyFont="1">
      <alignment shrinkToFit="0" wrapText="1"/>
    </xf>
    <xf borderId="17" fillId="0" fontId="1" numFmtId="0" xfId="0" applyAlignment="1" applyBorder="1" applyFont="1">
      <alignment readingOrder="0" shrinkToFit="0" wrapText="1"/>
    </xf>
    <xf borderId="0" fillId="0" fontId="16" numFmtId="0" xfId="0" applyFont="1"/>
    <xf borderId="1" fillId="17" fontId="1" numFmtId="0" xfId="0" applyAlignment="1" applyBorder="1" applyFill="1" applyFont="1">
      <alignment vertical="bottom"/>
    </xf>
    <xf borderId="6" fillId="17" fontId="1" numFmtId="0" xfId="0" applyAlignment="1" applyBorder="1" applyFill="1" applyFont="1">
      <alignment vertical="bottom"/>
    </xf>
    <xf borderId="1" fillId="17" fontId="1" numFmtId="0" xfId="0" applyBorder="1" applyFill="1" applyFont="1"/>
    <xf borderId="6" fillId="17" fontId="1" numFmtId="0" xfId="0" applyBorder="1" applyFill="1" applyFont="1"/>
    <xf borderId="1" fillId="18" fontId="1" numFmtId="0" xfId="0" applyAlignment="1" applyBorder="1" applyFill="1" applyFont="1">
      <alignment vertical="bottom"/>
    </xf>
    <xf borderId="6" fillId="18" fontId="1" numFmtId="0" xfId="0" applyAlignment="1" applyBorder="1" applyFill="1" applyFont="1">
      <alignment vertical="bottom"/>
    </xf>
    <xf borderId="1" fillId="8" fontId="1" numFmtId="0" xfId="0" applyBorder="1" applyFill="1" applyFont="1"/>
    <xf borderId="21" fillId="0" fontId="1" numFmtId="0" xfId="0" applyAlignment="1" applyBorder="1" applyFont="1">
      <alignment vertical="bottom"/>
    </xf>
    <xf borderId="1" fillId="18" fontId="1" numFmtId="0" xfId="0" applyAlignment="1" applyBorder="1" applyFill="1" applyFont="1">
      <alignment shrinkToFit="0" wrapText="1"/>
    </xf>
    <xf borderId="6" fillId="18" fontId="1" numFmtId="0" xfId="0" applyBorder="1" applyFill="1" applyFont="1"/>
    <xf borderId="6" fillId="0" fontId="24" numFmtId="0" xfId="0" applyAlignment="1" applyBorder="1" applyFont="1">
      <alignment readingOrder="0"/>
    </xf>
    <xf borderId="0" fillId="0" fontId="24" numFmtId="0" xfId="0" applyFont="1"/>
    <xf borderId="17" fillId="0" fontId="1" numFmtId="0" xfId="0" applyAlignment="1" applyBorder="1" applyFont="1">
      <alignment readingOrder="0"/>
    </xf>
    <xf borderId="23" fillId="0" fontId="11" numFmtId="0" xfId="0" applyBorder="1" applyFont="1"/>
    <xf borderId="24" fillId="0" fontId="11" numFmtId="0" xfId="0" applyBorder="1" applyFont="1"/>
    <xf borderId="6" fillId="0" fontId="25" numFmtId="0" xfId="0" applyAlignment="1" applyBorder="1" applyFont="1">
      <alignment readingOrder="0"/>
    </xf>
    <xf borderId="0" fillId="0" fontId="26" numFmtId="0" xfId="0" applyFont="1"/>
    <xf borderId="17" fillId="0" fontId="1" numFmtId="0" xfId="0" applyBorder="1" applyFont="1"/>
    <xf borderId="7" fillId="0" fontId="24" numFmtId="0" xfId="0" applyBorder="1" applyFont="1"/>
    <xf borderId="8" fillId="0" fontId="24" numFmtId="0" xfId="0" applyBorder="1" applyFont="1"/>
    <xf borderId="6" fillId="0" fontId="1" numFmtId="0" xfId="0" applyAlignment="1" applyBorder="1" applyFont="1">
      <alignment readingOrder="0" shrinkToFit="0" wrapText="1"/>
    </xf>
    <xf borderId="6" fillId="0" fontId="24" numFmtId="0" xfId="0" applyBorder="1" applyFont="1"/>
    <xf borderId="0" fillId="0" fontId="2" numFmtId="0" xfId="0" applyAlignment="1" applyFont="1">
      <alignment horizontal="center"/>
    </xf>
    <xf borderId="17" fillId="0" fontId="1" numFmtId="0" xfId="0" applyAlignment="1" applyBorder="1" applyFont="1">
      <alignment horizontal="left" readingOrder="0"/>
    </xf>
    <xf borderId="17" fillId="5" fontId="25" numFmtId="0" xfId="0" applyAlignment="1" applyBorder="1" applyFill="1" applyFont="1">
      <alignment readingOrder="0"/>
    </xf>
    <xf borderId="0" fillId="0" fontId="23"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22" Type="http://schemas.openxmlformats.org/officeDocument/2006/relationships/worksheet" Target="worksheets/sheet18.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30</xdr:row>
      <xdr:rowOff>190500</xdr:rowOff>
    </xdr:from>
    <xdr:ext cx="9439275" cy="633412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161925</xdr:colOff>
      <xdr:row>10</xdr:row>
      <xdr:rowOff>238125</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19</xdr:row>
      <xdr:rowOff>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238125</xdr:colOff>
      <xdr:row>26</xdr:row>
      <xdr:rowOff>285750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161925</xdr:colOff>
      <xdr:row>32</xdr:row>
      <xdr:rowOff>114300</xdr:rowOff>
    </xdr:from>
    <xdr:ext cx="1600200" cy="952500"/>
    <xdr:sp>
      <xdr:nvSpPr>
        <xdr:cNvPr id="3" name="Shape 3"/>
        <xdr:cNvSpPr/>
      </xdr:nvSpPr>
      <xdr:spPr>
        <a:xfrm rot="10800000">
          <a:off x="4550663" y="3308513"/>
          <a:ext cx="1590675" cy="942975"/>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ocs.google.com/forms/d/e/1FAIpQLSfg-J4rYH0YvdDWDED9zBTHV0i8563q1EZcWcI-AAwdLIqQEw/viewform?usp=sharing&amp;ouid=106956778603863897718" TargetMode="External"/><Relationship Id="rId3" Type="http://schemas.openxmlformats.org/officeDocument/2006/relationships/drawing" Target="../drawings/drawing4.xml"/><Relationship Id="rId4"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24.5"/>
    <col customWidth="1" min="4" max="4" width="16.88"/>
  </cols>
  <sheetData>
    <row r="1" ht="15.75" customHeight="1">
      <c r="A1" s="1"/>
    </row>
    <row r="2" ht="15.75" customHeight="1">
      <c r="A2" s="1"/>
      <c r="B2" s="2" t="s">
        <v>0</v>
      </c>
    </row>
    <row r="3" ht="15.75" customHeight="1">
      <c r="A3" s="1"/>
    </row>
    <row r="4" ht="15.75" customHeight="1">
      <c r="A4" s="1"/>
      <c r="B4" s="3" t="s">
        <v>1</v>
      </c>
      <c r="C4" s="8" t="s">
        <v>4</v>
      </c>
    </row>
    <row r="5">
      <c r="A5" s="1"/>
      <c r="B5" s="9" t="s">
        <v>5</v>
      </c>
      <c r="C5" s="10" t="s">
        <v>6</v>
      </c>
    </row>
    <row r="6">
      <c r="A6" s="1"/>
      <c r="B6" s="9" t="s">
        <v>7</v>
      </c>
    </row>
    <row r="7" ht="15.75" customHeight="1">
      <c r="A7" s="1"/>
    </row>
    <row r="8" ht="15.75" customHeight="1">
      <c r="A8" s="11" t="s">
        <v>8</v>
      </c>
    </row>
    <row r="9" ht="15.75" customHeight="1">
      <c r="A9" s="11" t="s">
        <v>9</v>
      </c>
    </row>
    <row r="10">
      <c r="A10" s="13" t="s">
        <v>11</v>
      </c>
      <c r="B10" s="13" t="s">
        <v>12</v>
      </c>
      <c r="C10" s="13" t="s">
        <v>13</v>
      </c>
      <c r="D10" s="16" t="s">
        <v>14</v>
      </c>
      <c r="E10" s="17"/>
      <c r="F10" s="19"/>
      <c r="G10" s="21" t="s">
        <v>17</v>
      </c>
    </row>
    <row r="11">
      <c r="A11" s="22" t="s">
        <v>21</v>
      </c>
      <c r="B11" s="29">
        <f>S.2!C7+S.3!C7+S.4!C7+S.5!C7+S.6!C7+S.7!C7+S.8!C7+S.9!C7+S.10!C7+S.11!C7</f>
        <v>20</v>
      </c>
      <c r="C11" s="34">
        <f>S.2!C6+S.3!C6+S.4!C6+S.5!C6+S.6!C6+S.7!C6+S.8!C6+S.9!C6+S.10!C6+S.11!C6</f>
        <v>1038</v>
      </c>
      <c r="D11" s="35"/>
      <c r="E11" s="17"/>
      <c r="F11" s="19"/>
      <c r="G11" s="36">
        <v>10.0</v>
      </c>
    </row>
    <row r="12" ht="15.75" customHeight="1">
      <c r="A12" s="38" t="s">
        <v>32</v>
      </c>
      <c r="B12" s="29">
        <f>Proyectos!C6</f>
        <v>70</v>
      </c>
      <c r="C12" s="34">
        <f>Proyectos!C5</f>
        <v>40</v>
      </c>
      <c r="D12" s="35"/>
      <c r="E12" s="17"/>
      <c r="F12" s="19"/>
      <c r="G12" s="36">
        <v>60.0</v>
      </c>
    </row>
    <row r="13" ht="15.75" customHeight="1">
      <c r="A13" s="38" t="s">
        <v>43</v>
      </c>
      <c r="B13" s="29">
        <f>Practicas!C6</f>
        <v>0</v>
      </c>
      <c r="C13" s="34">
        <f>Practicas!C5</f>
        <v>0</v>
      </c>
      <c r="D13" s="35"/>
      <c r="E13" s="17"/>
      <c r="F13" s="19"/>
      <c r="G13" s="36">
        <v>20.0</v>
      </c>
    </row>
    <row r="14" ht="15.75" customHeight="1">
      <c r="A14" s="51" t="s">
        <v>53</v>
      </c>
      <c r="B14" s="54">
        <f>Tareas!C6</f>
        <v>10</v>
      </c>
      <c r="C14" s="34">
        <f>Tareas!C5</f>
        <v>4</v>
      </c>
      <c r="D14" s="56"/>
      <c r="E14" s="57"/>
      <c r="F14" s="58"/>
      <c r="G14" s="36">
        <v>10.0</v>
      </c>
    </row>
    <row r="15" ht="15.75" customHeight="1">
      <c r="A15" s="60" t="s">
        <v>77</v>
      </c>
      <c r="B15" s="64">
        <f t="shared" ref="B15:C15" si="1">SUM(B11:B14)</f>
        <v>100</v>
      </c>
      <c r="C15" s="64">
        <f t="shared" si="1"/>
        <v>1082</v>
      </c>
      <c r="D15" s="66" t="s">
        <v>85</v>
      </c>
      <c r="E15" s="69" t="str">
        <f>IFERROR(__xludf.DUMMYFUNCTION("LET(
  nombres,A11:A14,
  p,B11:B14,
  m,G11:G14,
  t,SUM(p),
  exceden, IFERROR(TEXTJOIN(""; "", TRUE, FILTER(nombres&amp;"" (""&amp;p&amp;""&gt;""&amp;m&amp;"")"", p&gt;m)), """"),
  negs, IF(COUNTIF(p,""&lt;0"")&gt;0, ""Hay valores negativos"", """"),
  totalmsg, IF(t&lt;&gt;100, ""Total ≠"&amp;" 100 (actual ""&amp;t&amp;"")"", """"),
  excesomsg, IF(exceden&lt;&gt;"""", ""Exceden: ""&amp;exceden, """"),
  msg, TEXTJOIN("" | "", TRUE, totalmsg, negs, excesomsg),
  IF(msg="""", ""✅ Distribución válida"", ""❌ Revisar: ""&amp;msg)
)"),"❌ Revisar: Exceden: Actividades durante el peridodo de laboratorio (20&gt;10); Proyectos (70&gt;60)")</f>
        <v>❌ Revisar: Exceden: Actividades durante el peridodo de laboratorio (20&gt;10); Proyectos (70&gt;60)</v>
      </c>
      <c r="F15" s="71"/>
      <c r="G15" s="72"/>
    </row>
    <row r="16" ht="15.75" customHeight="1">
      <c r="A16" s="1"/>
    </row>
    <row r="17" ht="15.75" customHeight="1">
      <c r="A17" s="1"/>
    </row>
    <row r="18" ht="15.75" customHeight="1">
      <c r="A18" s="1"/>
      <c r="C18" s="74" t="s">
        <v>103</v>
      </c>
      <c r="D18" s="74">
        <v>10.0</v>
      </c>
    </row>
    <row r="19" ht="15.75" customHeight="1">
      <c r="A19" s="1"/>
      <c r="C19" s="74" t="s">
        <v>109</v>
      </c>
      <c r="D19" s="74">
        <v>30.0</v>
      </c>
    </row>
    <row r="20" ht="15.75" customHeight="1">
      <c r="A20" s="1"/>
      <c r="C20" s="74" t="s">
        <v>110</v>
      </c>
      <c r="D20" s="74">
        <v>40.0</v>
      </c>
    </row>
    <row r="21" ht="15.75" customHeight="1">
      <c r="A21" s="1"/>
      <c r="C21" s="74" t="s">
        <v>53</v>
      </c>
      <c r="D21" s="74">
        <v>10.0</v>
      </c>
      <c r="E21" s="74">
        <v>4.0</v>
      </c>
    </row>
    <row r="22" ht="15.75" customHeight="1">
      <c r="A22" s="1"/>
      <c r="C22" s="74" t="s">
        <v>113</v>
      </c>
      <c r="D22" s="74">
        <v>10.0</v>
      </c>
    </row>
    <row r="23" ht="15.75" customHeight="1">
      <c r="A23" s="1"/>
      <c r="D23" s="77">
        <f>SUM(D18:D22)</f>
        <v>100</v>
      </c>
    </row>
    <row r="24" ht="15.75" customHeight="1">
      <c r="A24" s="1"/>
    </row>
    <row r="25" ht="15.75" customHeight="1">
      <c r="A25" s="1"/>
    </row>
    <row r="26" ht="15.75" customHeight="1">
      <c r="A26" s="1"/>
    </row>
    <row r="27" ht="15.75" customHeight="1">
      <c r="A27" s="1"/>
    </row>
    <row r="28" ht="15.75" customHeight="1">
      <c r="A28" s="1"/>
    </row>
    <row r="29" ht="15.75" customHeight="1">
      <c r="A29" s="1"/>
    </row>
    <row r="30" ht="15.75" customHeight="1">
      <c r="A30" s="1"/>
    </row>
    <row r="31" ht="15.75" customHeight="1">
      <c r="A31" s="1"/>
    </row>
    <row r="32" ht="15.75" customHeight="1">
      <c r="A32" s="1"/>
    </row>
    <row r="33" ht="15.75" customHeight="1">
      <c r="A33" s="1"/>
    </row>
    <row r="34" ht="15.75" customHeight="1">
      <c r="A34" s="1"/>
    </row>
    <row r="35" ht="15.75" customHeight="1">
      <c r="A35" s="1"/>
    </row>
    <row r="36" ht="15.75" customHeight="1">
      <c r="A36" s="1"/>
    </row>
    <row r="37" ht="15.75" customHeight="1">
      <c r="A37" s="1"/>
    </row>
    <row r="38" ht="15.75" customHeight="1">
      <c r="A38" s="1"/>
    </row>
    <row r="39" ht="15.75" customHeight="1">
      <c r="A39" s="1"/>
    </row>
    <row r="40" ht="15.75" customHeight="1">
      <c r="A40" s="1"/>
    </row>
    <row r="41" ht="15.75" customHeight="1">
      <c r="A41" s="1"/>
    </row>
    <row r="42" ht="15.75" customHeight="1">
      <c r="A42" s="1"/>
    </row>
    <row r="43" ht="15.75" customHeight="1">
      <c r="A43" s="1"/>
    </row>
    <row r="44" ht="15.75" customHeight="1">
      <c r="A44" s="1"/>
    </row>
    <row r="45" ht="15.75" customHeight="1">
      <c r="A45" s="1"/>
    </row>
    <row r="46" ht="15.75" customHeight="1">
      <c r="A46" s="1"/>
    </row>
    <row r="47" ht="15.75" customHeight="1">
      <c r="A47" s="1"/>
    </row>
    <row r="48" ht="15.75" customHeight="1">
      <c r="A48" s="1"/>
    </row>
    <row r="49" ht="15.75" customHeight="1">
      <c r="A49" s="1"/>
    </row>
    <row r="50" ht="15.75" customHeight="1">
      <c r="A50" s="1"/>
    </row>
    <row r="51" ht="15.75" customHeight="1">
      <c r="A51" s="1"/>
    </row>
    <row r="52" ht="15.75" customHeight="1">
      <c r="A52" s="1"/>
    </row>
    <row r="53" ht="15.75" customHeight="1">
      <c r="A53" s="1"/>
    </row>
    <row r="54" ht="15.75" customHeight="1">
      <c r="A54" s="1"/>
    </row>
    <row r="55" ht="15.75" customHeight="1">
      <c r="A55" s="1"/>
    </row>
    <row r="56" ht="15.75" customHeight="1">
      <c r="A56" s="1"/>
    </row>
    <row r="57" ht="15.75" customHeight="1">
      <c r="A57" s="1"/>
    </row>
    <row r="58" ht="15.75" customHeight="1">
      <c r="A58" s="1"/>
    </row>
    <row r="59" ht="15.75" customHeight="1">
      <c r="A59" s="1"/>
    </row>
    <row r="60" ht="15.75" customHeight="1">
      <c r="A60" s="1"/>
    </row>
    <row r="61" ht="15.75" customHeight="1">
      <c r="A61" s="1"/>
    </row>
    <row r="62" ht="15.75" customHeight="1">
      <c r="A62" s="1"/>
    </row>
    <row r="63" ht="15.75" customHeight="1">
      <c r="A63" s="1"/>
    </row>
    <row r="64" ht="15.75" customHeight="1">
      <c r="A64" s="1"/>
    </row>
    <row r="65" ht="15.75" customHeight="1">
      <c r="A65" s="1"/>
    </row>
    <row r="66" ht="15.75" customHeight="1">
      <c r="A66" s="1"/>
    </row>
    <row r="67" ht="15.75" customHeight="1">
      <c r="A67" s="1"/>
    </row>
    <row r="68" ht="15.75" customHeight="1">
      <c r="A68" s="1"/>
    </row>
    <row r="69" ht="15.75" customHeight="1">
      <c r="A69" s="1"/>
    </row>
    <row r="70" ht="15.75" customHeight="1">
      <c r="A70" s="1"/>
    </row>
    <row r="71" ht="15.75" customHeight="1">
      <c r="A71" s="1"/>
    </row>
    <row r="72" ht="15.75" customHeight="1">
      <c r="A72" s="1"/>
    </row>
    <row r="73" ht="15.75" customHeight="1">
      <c r="A73" s="1"/>
    </row>
    <row r="74" ht="15.75" customHeight="1">
      <c r="A74" s="1"/>
    </row>
    <row r="75" ht="15.75" customHeight="1">
      <c r="A75" s="1"/>
    </row>
    <row r="76" ht="15.75" customHeight="1">
      <c r="A76" s="1"/>
    </row>
    <row r="77" ht="15.75" customHeight="1">
      <c r="A77" s="1"/>
    </row>
    <row r="78" ht="15.75" customHeight="1">
      <c r="A78" s="1"/>
    </row>
    <row r="79" ht="15.75" customHeight="1">
      <c r="A79" s="1"/>
    </row>
    <row r="80" ht="15.75" customHeight="1">
      <c r="A80" s="1"/>
    </row>
    <row r="81" ht="15.75" customHeight="1">
      <c r="A81" s="1"/>
    </row>
    <row r="82" ht="15.75" customHeight="1">
      <c r="A82" s="1"/>
    </row>
    <row r="83" ht="15.75" customHeight="1">
      <c r="A83" s="1"/>
    </row>
    <row r="84" ht="15.75" customHeight="1">
      <c r="A84" s="1"/>
    </row>
    <row r="85" ht="15.75" customHeight="1">
      <c r="A85" s="1"/>
    </row>
    <row r="86" ht="15.75" customHeight="1">
      <c r="A86" s="1"/>
    </row>
    <row r="87" ht="15.75" customHeight="1">
      <c r="A87" s="1"/>
    </row>
    <row r="88" ht="15.75" customHeight="1">
      <c r="A88" s="1"/>
    </row>
    <row r="89" ht="15.75" customHeight="1">
      <c r="A89" s="1"/>
    </row>
    <row r="90" ht="15.75" customHeight="1">
      <c r="A90" s="1"/>
    </row>
    <row r="91" ht="15.75" customHeight="1">
      <c r="A91" s="1"/>
    </row>
    <row r="92" ht="15.75" customHeight="1">
      <c r="A92" s="1"/>
    </row>
    <row r="93" ht="15.75" customHeight="1">
      <c r="A93" s="1"/>
    </row>
    <row r="94" ht="15.75" customHeight="1">
      <c r="A94" s="1"/>
    </row>
    <row r="95" ht="15.75" customHeight="1">
      <c r="A95" s="1"/>
    </row>
    <row r="96" ht="15.75" customHeight="1">
      <c r="A96" s="1"/>
    </row>
    <row r="97" ht="15.75" customHeight="1">
      <c r="A97" s="1"/>
    </row>
    <row r="98" ht="15.75" customHeight="1">
      <c r="A98" s="1"/>
    </row>
    <row r="99" ht="15.75" customHeight="1">
      <c r="A99" s="1"/>
    </row>
    <row r="100" ht="15.75" customHeight="1">
      <c r="A100" s="1"/>
    </row>
    <row r="101" ht="15.75" customHeight="1">
      <c r="A101" s="1"/>
    </row>
    <row r="102" ht="15.75" customHeight="1">
      <c r="A102" s="1"/>
    </row>
    <row r="103" ht="15.75" customHeight="1">
      <c r="A103" s="1"/>
    </row>
    <row r="104" ht="15.75" customHeight="1">
      <c r="A104" s="1"/>
    </row>
    <row r="105" ht="15.75" customHeight="1">
      <c r="A105" s="1"/>
    </row>
    <row r="106" ht="15.75" customHeight="1">
      <c r="A106" s="1"/>
    </row>
    <row r="107" ht="15.75" customHeight="1">
      <c r="A107" s="1"/>
    </row>
    <row r="108" ht="15.75" customHeight="1">
      <c r="A108" s="1"/>
    </row>
    <row r="109" ht="15.75" customHeight="1">
      <c r="A109" s="1"/>
    </row>
    <row r="110" ht="15.75" customHeight="1">
      <c r="A110" s="1"/>
    </row>
    <row r="111" ht="15.75" customHeight="1">
      <c r="A111" s="1"/>
    </row>
    <row r="112" ht="15.75" customHeight="1">
      <c r="A112" s="1"/>
    </row>
    <row r="113" ht="15.75" customHeight="1">
      <c r="A113" s="1"/>
    </row>
    <row r="114" ht="15.75" customHeight="1">
      <c r="A114" s="1"/>
    </row>
    <row r="115" ht="15.75" customHeight="1">
      <c r="A115" s="1"/>
    </row>
    <row r="116" ht="15.75" customHeight="1">
      <c r="A116" s="1"/>
    </row>
    <row r="117" ht="15.75" customHeight="1">
      <c r="A117" s="1"/>
    </row>
    <row r="118" ht="15.75" customHeight="1">
      <c r="A118" s="1"/>
    </row>
    <row r="119" ht="15.75" customHeight="1">
      <c r="A119" s="1"/>
    </row>
    <row r="120" ht="15.75" customHeight="1">
      <c r="A120" s="1"/>
    </row>
    <row r="121" ht="15.75" customHeight="1">
      <c r="A121" s="1"/>
    </row>
    <row r="122" ht="15.75" customHeight="1">
      <c r="A122" s="1"/>
    </row>
    <row r="123" ht="15.75" customHeight="1">
      <c r="A123" s="1"/>
    </row>
    <row r="124" ht="15.75" customHeight="1">
      <c r="A124" s="1"/>
    </row>
    <row r="125" ht="15.75" customHeight="1">
      <c r="A125" s="1"/>
    </row>
    <row r="126" ht="15.75" customHeight="1">
      <c r="A126" s="1"/>
    </row>
    <row r="127" ht="15.75" customHeight="1">
      <c r="A127" s="1"/>
    </row>
    <row r="128" ht="15.75" customHeight="1">
      <c r="A128" s="1"/>
    </row>
    <row r="129" ht="15.75" customHeight="1">
      <c r="A129" s="1"/>
    </row>
    <row r="130" ht="15.75" customHeight="1">
      <c r="A130" s="1"/>
    </row>
    <row r="131" ht="15.75" customHeight="1">
      <c r="A131" s="1"/>
    </row>
    <row r="132" ht="15.75" customHeight="1">
      <c r="A132" s="1"/>
    </row>
    <row r="133" ht="15.75" customHeight="1">
      <c r="A133" s="1"/>
    </row>
    <row r="134" ht="15.75" customHeight="1">
      <c r="A134" s="1"/>
    </row>
    <row r="135" ht="15.75" customHeight="1">
      <c r="A135" s="1"/>
    </row>
    <row r="136" ht="15.75" customHeight="1">
      <c r="A136" s="1"/>
    </row>
    <row r="137" ht="15.75" customHeight="1">
      <c r="A137" s="1"/>
    </row>
    <row r="138" ht="15.75" customHeight="1">
      <c r="A138" s="1"/>
    </row>
    <row r="139" ht="15.75" customHeight="1">
      <c r="A139" s="1"/>
    </row>
    <row r="140" ht="15.75" customHeight="1">
      <c r="A140" s="1"/>
    </row>
    <row r="141" ht="15.75" customHeight="1">
      <c r="A141" s="1"/>
    </row>
    <row r="142" ht="15.75" customHeight="1">
      <c r="A142" s="1"/>
    </row>
    <row r="143" ht="15.75" customHeight="1">
      <c r="A143" s="1"/>
    </row>
    <row r="144" ht="15.75" customHeight="1">
      <c r="A144" s="1"/>
    </row>
    <row r="145" ht="15.75" customHeight="1">
      <c r="A145" s="1"/>
    </row>
    <row r="146" ht="15.75" customHeight="1">
      <c r="A146" s="1"/>
    </row>
    <row r="147" ht="15.75" customHeight="1">
      <c r="A147" s="1"/>
    </row>
    <row r="148" ht="15.75" customHeight="1">
      <c r="A148" s="1"/>
    </row>
    <row r="149" ht="15.75" customHeight="1">
      <c r="A149" s="1"/>
    </row>
    <row r="150" ht="15.75" customHeight="1">
      <c r="A150" s="1"/>
    </row>
    <row r="151" ht="15.75" customHeight="1">
      <c r="A151" s="1"/>
    </row>
    <row r="152" ht="15.75" customHeight="1">
      <c r="A152" s="1"/>
    </row>
    <row r="153" ht="15.75" customHeight="1">
      <c r="A153" s="1"/>
    </row>
    <row r="154" ht="15.75" customHeight="1">
      <c r="A154" s="1"/>
    </row>
    <row r="155" ht="15.75" customHeight="1">
      <c r="A155" s="1"/>
    </row>
    <row r="156" ht="15.75" customHeight="1">
      <c r="A156" s="1"/>
    </row>
    <row r="157" ht="15.75" customHeight="1">
      <c r="A157" s="1"/>
    </row>
    <row r="158" ht="15.75" customHeight="1">
      <c r="A158" s="1"/>
    </row>
    <row r="159" ht="15.75" customHeight="1">
      <c r="A159" s="1"/>
    </row>
    <row r="160" ht="15.75" customHeight="1">
      <c r="A160" s="1"/>
    </row>
    <row r="161" ht="15.75" customHeight="1">
      <c r="A161" s="1"/>
    </row>
    <row r="162" ht="15.75" customHeight="1">
      <c r="A162" s="1"/>
    </row>
    <row r="163" ht="15.75" customHeight="1">
      <c r="A163" s="1"/>
    </row>
    <row r="164" ht="15.75" customHeight="1">
      <c r="A164" s="1"/>
    </row>
    <row r="165" ht="15.75" customHeight="1">
      <c r="A165" s="1"/>
    </row>
    <row r="166" ht="15.75" customHeight="1">
      <c r="A166" s="1"/>
    </row>
    <row r="167" ht="15.75" customHeight="1">
      <c r="A167" s="1"/>
    </row>
    <row r="168" ht="15.75" customHeight="1">
      <c r="A168" s="1"/>
    </row>
    <row r="169" ht="15.75" customHeight="1">
      <c r="A169" s="1"/>
    </row>
    <row r="170" ht="15.75" customHeight="1">
      <c r="A170" s="1"/>
    </row>
    <row r="171" ht="15.75" customHeight="1">
      <c r="A171" s="1"/>
    </row>
    <row r="172" ht="15.75" customHeight="1">
      <c r="A172" s="1"/>
    </row>
    <row r="173" ht="15.75" customHeight="1">
      <c r="A173" s="1"/>
    </row>
    <row r="174" ht="15.75" customHeight="1">
      <c r="A174" s="1"/>
    </row>
    <row r="175" ht="15.75" customHeight="1">
      <c r="A175" s="1"/>
    </row>
    <row r="176" ht="15.75" customHeight="1">
      <c r="A176" s="1"/>
    </row>
    <row r="177" ht="15.75" customHeight="1">
      <c r="A177" s="1"/>
    </row>
    <row r="178" ht="15.75" customHeight="1">
      <c r="A178" s="1"/>
    </row>
    <row r="179" ht="15.75" customHeight="1">
      <c r="A179" s="1"/>
    </row>
    <row r="180" ht="15.75" customHeight="1">
      <c r="A180" s="1"/>
    </row>
    <row r="181" ht="15.75" customHeight="1">
      <c r="A181" s="1"/>
    </row>
    <row r="182" ht="15.75" customHeight="1">
      <c r="A182" s="1"/>
    </row>
    <row r="183" ht="15.75" customHeight="1">
      <c r="A183" s="1"/>
    </row>
    <row r="184" ht="15.75" customHeight="1">
      <c r="A184" s="1"/>
    </row>
    <row r="185" ht="15.75" customHeight="1">
      <c r="A185" s="1"/>
    </row>
    <row r="186" ht="15.75" customHeight="1">
      <c r="A186" s="1"/>
    </row>
    <row r="187" ht="15.75" customHeight="1">
      <c r="A187" s="1"/>
    </row>
    <row r="188" ht="15.75" customHeight="1">
      <c r="A188" s="1"/>
    </row>
    <row r="189" ht="15.75" customHeight="1">
      <c r="A189" s="1"/>
    </row>
    <row r="190" ht="15.75" customHeight="1">
      <c r="A190" s="1"/>
    </row>
    <row r="191" ht="15.75" customHeight="1">
      <c r="A191" s="1"/>
    </row>
    <row r="192" ht="15.75" customHeight="1">
      <c r="A192" s="1"/>
    </row>
    <row r="193" ht="15.75" customHeight="1">
      <c r="A193" s="1"/>
    </row>
    <row r="194" ht="15.75" customHeight="1">
      <c r="A194" s="1"/>
    </row>
    <row r="195" ht="15.75" customHeight="1">
      <c r="A195" s="1"/>
    </row>
    <row r="196" ht="15.75" customHeight="1">
      <c r="A196" s="1"/>
    </row>
    <row r="197" ht="15.75" customHeight="1">
      <c r="A197" s="1"/>
    </row>
    <row r="198" ht="15.75" customHeight="1">
      <c r="A198" s="1"/>
    </row>
    <row r="199" ht="15.75" customHeight="1">
      <c r="A199" s="1"/>
    </row>
    <row r="200" ht="15.75" customHeight="1">
      <c r="A200" s="1"/>
    </row>
    <row r="201" ht="15.75" customHeight="1">
      <c r="A201" s="1"/>
    </row>
    <row r="202" ht="15.75" customHeight="1">
      <c r="A202" s="1"/>
    </row>
    <row r="203" ht="15.75" customHeight="1">
      <c r="A203" s="1"/>
    </row>
    <row r="204" ht="15.75" customHeight="1">
      <c r="A204" s="1"/>
    </row>
    <row r="205" ht="15.75" customHeight="1">
      <c r="A205" s="1"/>
    </row>
    <row r="206" ht="15.75" customHeight="1">
      <c r="A206" s="1"/>
    </row>
    <row r="207" ht="15.75" customHeight="1">
      <c r="A207" s="1"/>
    </row>
    <row r="208" ht="15.75" customHeight="1">
      <c r="A208" s="1"/>
    </row>
    <row r="209" ht="15.75" customHeight="1">
      <c r="A209" s="1"/>
    </row>
    <row r="210" ht="15.75" customHeight="1">
      <c r="A210" s="1"/>
    </row>
    <row r="211" ht="15.75" customHeight="1">
      <c r="A211" s="1"/>
    </row>
    <row r="212" ht="15.75" customHeight="1">
      <c r="A212" s="1"/>
    </row>
    <row r="213" ht="15.75" customHeight="1">
      <c r="A213" s="1"/>
    </row>
    <row r="214" ht="15.75" customHeight="1">
      <c r="A214" s="1"/>
    </row>
    <row r="215" ht="15.75" customHeight="1">
      <c r="A215" s="1"/>
    </row>
    <row r="216" ht="15.75" customHeight="1">
      <c r="A216" s="1"/>
    </row>
    <row r="217" ht="15.75" customHeight="1">
      <c r="A217" s="1"/>
    </row>
    <row r="218" ht="15.75" customHeight="1">
      <c r="A218" s="1"/>
    </row>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11">
    <mergeCell ref="D12:F12"/>
    <mergeCell ref="D13:F13"/>
    <mergeCell ref="D14:F14"/>
    <mergeCell ref="E15:G15"/>
    <mergeCell ref="C4:H4"/>
    <mergeCell ref="C5:H5"/>
    <mergeCell ref="C6:H6"/>
    <mergeCell ref="A8:G8"/>
    <mergeCell ref="A9:G9"/>
    <mergeCell ref="D10:F10"/>
    <mergeCell ref="D11:F11"/>
  </mergeCells>
  <dataValidations>
    <dataValidation type="list" allowBlank="1" showErrorMessage="1" sqref="C4">
      <formula1>Metadata!$A$2:$A$81</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75"/>
    <col customWidth="1" min="4" max="4" width="17.0"/>
  </cols>
  <sheetData>
    <row r="1">
      <c r="A1" s="5"/>
      <c r="B1" s="7" t="s">
        <v>3</v>
      </c>
      <c r="Q1" s="5"/>
      <c r="R1" s="5"/>
      <c r="S1" s="5"/>
      <c r="T1" s="5"/>
      <c r="U1" s="5"/>
      <c r="V1" s="5"/>
      <c r="W1" s="5"/>
      <c r="X1" s="5"/>
      <c r="Y1" s="5"/>
      <c r="Z1" s="5"/>
    </row>
    <row r="2">
      <c r="A2" s="5"/>
      <c r="B2" s="3" t="s">
        <v>1</v>
      </c>
      <c r="C2" s="8" t="s">
        <v>4</v>
      </c>
      <c r="I2" s="5"/>
      <c r="J2" s="5"/>
      <c r="K2" s="5"/>
      <c r="L2" s="5"/>
      <c r="M2" s="5"/>
      <c r="N2" s="5"/>
      <c r="O2" s="5"/>
      <c r="P2" s="5"/>
      <c r="Q2" s="5"/>
      <c r="R2" s="5"/>
      <c r="S2" s="5"/>
      <c r="T2" s="5"/>
      <c r="U2" s="5"/>
      <c r="V2" s="5"/>
      <c r="W2" s="5"/>
      <c r="X2" s="5"/>
      <c r="Y2" s="5"/>
      <c r="Z2" s="5"/>
    </row>
    <row r="3">
      <c r="A3" s="5"/>
      <c r="B3" s="3" t="s">
        <v>5</v>
      </c>
      <c r="C3" s="10" t="s">
        <v>6</v>
      </c>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c r="A5" s="5"/>
      <c r="B5" s="33" t="s">
        <v>29</v>
      </c>
      <c r="C5" s="25"/>
      <c r="D5" s="25"/>
      <c r="E5" s="25"/>
      <c r="F5" s="25"/>
      <c r="G5" s="26"/>
      <c r="H5" s="5"/>
      <c r="I5" s="33" t="s">
        <v>31</v>
      </c>
      <c r="J5" s="25"/>
      <c r="K5" s="25"/>
      <c r="L5" s="25"/>
      <c r="M5" s="25"/>
      <c r="N5" s="25"/>
      <c r="O5" s="25"/>
      <c r="P5" s="26"/>
      <c r="Q5" s="5"/>
      <c r="R5" s="5"/>
      <c r="S5" s="5"/>
      <c r="T5" s="5"/>
      <c r="U5" s="5"/>
      <c r="V5" s="5"/>
      <c r="W5" s="5"/>
      <c r="X5" s="5"/>
      <c r="Y5" s="5"/>
      <c r="Z5" s="5"/>
    </row>
    <row r="6">
      <c r="A6" s="5"/>
      <c r="B6" s="40">
        <v>1.0</v>
      </c>
      <c r="C6" s="44" t="s">
        <v>39</v>
      </c>
      <c r="D6" s="25"/>
      <c r="E6" s="25"/>
      <c r="F6" s="25"/>
      <c r="G6" s="26"/>
      <c r="H6" s="46"/>
      <c r="I6" s="40">
        <v>1.0</v>
      </c>
      <c r="J6" s="44" t="s">
        <v>48</v>
      </c>
      <c r="K6" s="25"/>
      <c r="L6" s="25"/>
      <c r="M6" s="25"/>
      <c r="N6" s="25"/>
      <c r="O6" s="25"/>
      <c r="P6" s="26"/>
      <c r="Q6" s="5"/>
      <c r="R6" s="5"/>
      <c r="S6" s="5"/>
      <c r="T6" s="5"/>
      <c r="U6" s="5"/>
      <c r="V6" s="5"/>
      <c r="W6" s="5"/>
      <c r="X6" s="5"/>
      <c r="Y6" s="5"/>
      <c r="Z6" s="5"/>
    </row>
    <row r="7">
      <c r="A7" s="5"/>
      <c r="B7" s="53">
        <v>2.0</v>
      </c>
      <c r="C7" s="44" t="s">
        <v>59</v>
      </c>
      <c r="D7" s="25"/>
      <c r="E7" s="25"/>
      <c r="F7" s="25"/>
      <c r="G7" s="26"/>
      <c r="H7" s="5"/>
      <c r="I7" s="62">
        <v>2.0</v>
      </c>
      <c r="J7" s="44" t="s">
        <v>80</v>
      </c>
      <c r="K7" s="25"/>
      <c r="L7" s="25"/>
      <c r="M7" s="25"/>
      <c r="N7" s="25"/>
      <c r="O7" s="25"/>
      <c r="P7" s="26"/>
      <c r="Q7" s="5"/>
      <c r="R7" s="5"/>
      <c r="S7" s="5"/>
      <c r="T7" s="5"/>
      <c r="U7" s="5"/>
      <c r="V7" s="5"/>
      <c r="W7" s="5"/>
      <c r="X7" s="5"/>
      <c r="Y7" s="5"/>
      <c r="Z7" s="5"/>
    </row>
    <row r="8">
      <c r="A8" s="5"/>
      <c r="B8" s="53">
        <v>3.0</v>
      </c>
      <c r="C8" s="44" t="s">
        <v>92</v>
      </c>
      <c r="D8" s="25"/>
      <c r="E8" s="25"/>
      <c r="F8" s="25"/>
      <c r="G8" s="26"/>
      <c r="H8" s="5"/>
      <c r="I8" s="62">
        <v>3.0</v>
      </c>
      <c r="J8" s="44" t="s">
        <v>96</v>
      </c>
      <c r="K8" s="25"/>
      <c r="L8" s="25"/>
      <c r="M8" s="25"/>
      <c r="N8" s="25"/>
      <c r="O8" s="25"/>
      <c r="P8" s="26"/>
      <c r="Q8" s="5"/>
      <c r="R8" s="5"/>
      <c r="S8" s="5"/>
      <c r="T8" s="5"/>
      <c r="U8" s="5"/>
      <c r="V8" s="5"/>
      <c r="W8" s="5"/>
      <c r="X8" s="5"/>
      <c r="Y8" s="5"/>
      <c r="Z8" s="5"/>
    </row>
    <row r="9">
      <c r="A9" s="5"/>
      <c r="B9" s="5"/>
      <c r="C9" s="5"/>
      <c r="D9" s="5"/>
      <c r="E9" s="5"/>
      <c r="F9" s="5"/>
      <c r="G9" s="5"/>
      <c r="H9" s="5"/>
      <c r="I9" s="5"/>
      <c r="J9" s="5"/>
      <c r="K9" s="5"/>
      <c r="L9" s="5"/>
      <c r="M9" s="5"/>
      <c r="N9" s="5"/>
      <c r="O9" s="5"/>
      <c r="P9" s="5"/>
      <c r="Q9" s="5"/>
      <c r="R9" s="5"/>
      <c r="S9" s="5"/>
      <c r="T9" s="5"/>
      <c r="U9" s="5"/>
      <c r="V9" s="5"/>
      <c r="W9" s="5"/>
      <c r="X9" s="5"/>
      <c r="Y9" s="5"/>
      <c r="Z9" s="5"/>
    </row>
    <row r="10">
      <c r="A10" s="5"/>
      <c r="B10" s="5"/>
      <c r="C10" s="5"/>
      <c r="D10" s="5"/>
      <c r="E10" s="5"/>
      <c r="F10" s="5"/>
      <c r="G10" s="5"/>
      <c r="H10" s="5"/>
      <c r="I10" s="5"/>
      <c r="J10" s="5"/>
      <c r="K10" s="5"/>
      <c r="L10" s="5"/>
      <c r="M10" s="5"/>
      <c r="N10" s="5"/>
      <c r="O10" s="5"/>
      <c r="P10" s="5"/>
      <c r="Q10" s="5"/>
      <c r="R10" s="5"/>
      <c r="S10" s="5"/>
      <c r="T10" s="5"/>
      <c r="U10" s="5"/>
      <c r="V10" s="5"/>
      <c r="W10" s="5"/>
      <c r="X10" s="5"/>
      <c r="Y10" s="5"/>
      <c r="Z10" s="5"/>
    </row>
    <row r="11">
      <c r="A11" s="5"/>
      <c r="B11" s="75" t="s">
        <v>114</v>
      </c>
      <c r="C11" s="75" t="s">
        <v>118</v>
      </c>
      <c r="D11" s="75" t="s">
        <v>120</v>
      </c>
      <c r="E11" s="76" t="s">
        <v>121</v>
      </c>
      <c r="F11" s="26"/>
      <c r="G11" s="78" t="s">
        <v>123</v>
      </c>
      <c r="H11" s="79" t="s">
        <v>128</v>
      </c>
      <c r="I11" s="26"/>
      <c r="J11" s="75" t="s">
        <v>131</v>
      </c>
      <c r="K11" s="5"/>
      <c r="L11" s="5"/>
      <c r="M11" s="5"/>
      <c r="N11" s="5"/>
      <c r="O11" s="5"/>
      <c r="P11" s="5"/>
      <c r="Q11" s="5"/>
      <c r="R11" s="5"/>
      <c r="S11" s="5"/>
      <c r="T11" s="5"/>
      <c r="U11" s="5"/>
      <c r="V11" s="5"/>
      <c r="W11" s="5"/>
      <c r="X11" s="5"/>
      <c r="Y11" s="5"/>
      <c r="Z11" s="5"/>
    </row>
    <row r="12">
      <c r="A12" s="5"/>
      <c r="B12" s="80">
        <v>1.0</v>
      </c>
      <c r="C12" s="18" t="s">
        <v>137</v>
      </c>
      <c r="D12" s="81" t="s">
        <v>140</v>
      </c>
      <c r="E12" s="82" t="s">
        <v>143</v>
      </c>
      <c r="F12" s="26"/>
      <c r="G12" s="84" t="s">
        <v>150</v>
      </c>
      <c r="H12" s="85" t="s">
        <v>154</v>
      </c>
      <c r="I12" s="26"/>
      <c r="J12" s="86"/>
      <c r="K12" s="5"/>
      <c r="L12" s="5"/>
      <c r="M12" s="5"/>
      <c r="N12" s="5"/>
      <c r="O12" s="5"/>
      <c r="P12" s="5"/>
      <c r="Q12" s="5"/>
      <c r="R12" s="5"/>
      <c r="S12" s="5"/>
      <c r="T12" s="5"/>
      <c r="U12" s="5"/>
      <c r="V12" s="5"/>
      <c r="W12" s="5"/>
      <c r="X12" s="5"/>
      <c r="Y12" s="5"/>
      <c r="Z12" s="5"/>
    </row>
    <row r="13">
      <c r="A13" s="5"/>
      <c r="B13" s="87"/>
      <c r="C13" s="88" t="str">
        <f>D12 &amp; " " &amp; E12 &amp; " " &amp;G12&amp; " " &amp;H12&amp; " " </f>
        <v>Identifica los elementos de una base de datos relacional mediante la exploración de Motores de bases de datos para comprender estructura y organización de datos </v>
      </c>
      <c r="D13" s="25"/>
      <c r="E13" s="25"/>
      <c r="F13" s="25"/>
      <c r="G13" s="25"/>
      <c r="H13" s="25"/>
      <c r="I13" s="25"/>
      <c r="J13" s="26"/>
      <c r="K13" s="5"/>
      <c r="L13" s="5"/>
      <c r="M13" s="5"/>
      <c r="N13" s="5"/>
      <c r="O13" s="5"/>
      <c r="P13" s="5"/>
      <c r="Q13" s="5"/>
      <c r="R13" s="5"/>
      <c r="S13" s="5"/>
      <c r="T13" s="5"/>
      <c r="U13" s="5"/>
      <c r="V13" s="5"/>
      <c r="W13" s="5"/>
      <c r="X13" s="5"/>
      <c r="Y13" s="5"/>
      <c r="Z13" s="5"/>
    </row>
    <row r="14">
      <c r="A14" s="5"/>
      <c r="B14" s="80">
        <v>2.0</v>
      </c>
      <c r="C14" s="18" t="s">
        <v>137</v>
      </c>
      <c r="D14" s="81" t="s">
        <v>178</v>
      </c>
      <c r="E14" s="89" t="s">
        <v>179</v>
      </c>
      <c r="F14" s="26"/>
      <c r="G14" s="90" t="s">
        <v>181</v>
      </c>
      <c r="H14" s="91" t="s">
        <v>183</v>
      </c>
      <c r="I14" s="26"/>
      <c r="J14" s="86"/>
      <c r="K14" s="5"/>
      <c r="L14" s="5"/>
      <c r="M14" s="5"/>
      <c r="N14" s="5"/>
      <c r="O14" s="5"/>
      <c r="P14" s="5"/>
      <c r="Q14" s="5"/>
      <c r="R14" s="5"/>
      <c r="S14" s="5"/>
      <c r="T14" s="5"/>
      <c r="U14" s="5"/>
      <c r="V14" s="5"/>
      <c r="W14" s="5"/>
      <c r="X14" s="5"/>
      <c r="Y14" s="5"/>
      <c r="Z14" s="5"/>
    </row>
    <row r="15">
      <c r="A15" s="5"/>
      <c r="B15" s="87"/>
      <c r="C15" s="88" t="str">
        <f>D14 &amp; " " &amp; E14 &amp; " " &amp;G14&amp; " " &amp;H14&amp; " " </f>
        <v>Aplica la creación de tablas, consultas y formularios utilizando motores de bases de datos para resolver problemas prácticos de gestión de información </v>
      </c>
      <c r="D15" s="25"/>
      <c r="E15" s="25"/>
      <c r="F15" s="25"/>
      <c r="G15" s="25"/>
      <c r="H15" s="25"/>
      <c r="I15" s="25"/>
      <c r="J15" s="26"/>
      <c r="K15" s="5"/>
      <c r="L15" s="5"/>
      <c r="M15" s="5"/>
      <c r="N15" s="5"/>
      <c r="O15" s="5"/>
      <c r="P15" s="5"/>
      <c r="Q15" s="5"/>
      <c r="R15" s="5"/>
      <c r="S15" s="5"/>
      <c r="T15" s="5"/>
      <c r="U15" s="5"/>
      <c r="V15" s="5"/>
      <c r="W15" s="5"/>
      <c r="X15" s="5"/>
      <c r="Y15" s="5"/>
      <c r="Z15" s="5"/>
    </row>
    <row r="16">
      <c r="A16" s="5"/>
      <c r="B16" s="80">
        <v>3.0</v>
      </c>
      <c r="C16" s="18" t="s">
        <v>137</v>
      </c>
      <c r="D16" s="81" t="s">
        <v>190</v>
      </c>
      <c r="E16" s="89" t="s">
        <v>191</v>
      </c>
      <c r="F16" s="26"/>
      <c r="G16" s="90" t="s">
        <v>192</v>
      </c>
      <c r="H16" s="91" t="s">
        <v>193</v>
      </c>
      <c r="I16" s="26"/>
      <c r="J16" s="86"/>
      <c r="K16" s="5"/>
      <c r="L16" s="5"/>
      <c r="M16" s="5"/>
      <c r="N16" s="5"/>
      <c r="O16" s="5"/>
      <c r="P16" s="5"/>
      <c r="Q16" s="5"/>
      <c r="R16" s="5"/>
      <c r="S16" s="5"/>
      <c r="T16" s="5"/>
      <c r="U16" s="5"/>
      <c r="V16" s="5"/>
      <c r="W16" s="5"/>
      <c r="X16" s="5"/>
      <c r="Y16" s="5"/>
      <c r="Z16" s="5"/>
    </row>
    <row r="17">
      <c r="A17" s="5"/>
      <c r="B17" s="87"/>
      <c r="C17" s="88" t="str">
        <f>D16 &amp; " " &amp; E16 &amp; " " &amp;G16&amp; " " &amp;H16&amp; " " </f>
        <v>Analiza la relación entre tareas, recursos y cronogramas con Microsoft Project para planificar proyectos académicos o simulados de manera ordenada </v>
      </c>
      <c r="D17" s="25"/>
      <c r="E17" s="25"/>
      <c r="F17" s="25"/>
      <c r="G17" s="25"/>
      <c r="H17" s="25"/>
      <c r="I17" s="25"/>
      <c r="J17" s="26"/>
      <c r="K17" s="5"/>
      <c r="L17" s="5"/>
      <c r="M17" s="5"/>
      <c r="N17" s="5"/>
      <c r="O17" s="5"/>
      <c r="P17" s="5"/>
      <c r="Q17" s="5"/>
      <c r="R17" s="5"/>
      <c r="S17" s="5"/>
      <c r="T17" s="5"/>
      <c r="U17" s="5"/>
      <c r="V17" s="5"/>
      <c r="W17" s="5"/>
      <c r="X17" s="5"/>
      <c r="Y17" s="5"/>
      <c r="Z17" s="5"/>
    </row>
    <row r="18">
      <c r="A18" s="5"/>
      <c r="B18" s="80">
        <v>4.0</v>
      </c>
      <c r="C18" s="18" t="s">
        <v>137</v>
      </c>
      <c r="D18" s="81" t="s">
        <v>197</v>
      </c>
      <c r="E18" s="89" t="s">
        <v>198</v>
      </c>
      <c r="F18" s="26"/>
      <c r="G18" s="90" t="s">
        <v>199</v>
      </c>
      <c r="H18" s="91" t="s">
        <v>200</v>
      </c>
      <c r="I18" s="26"/>
      <c r="J18" s="86"/>
      <c r="K18" s="5"/>
      <c r="L18" s="5"/>
      <c r="M18" s="5"/>
      <c r="N18" s="5"/>
      <c r="O18" s="5"/>
      <c r="P18" s="5"/>
      <c r="Q18" s="5"/>
      <c r="R18" s="5"/>
      <c r="S18" s="5"/>
      <c r="T18" s="5"/>
      <c r="U18" s="5"/>
      <c r="V18" s="5"/>
      <c r="W18" s="5"/>
      <c r="X18" s="5"/>
      <c r="Y18" s="5"/>
      <c r="Z18" s="5"/>
    </row>
    <row r="19">
      <c r="A19" s="5"/>
      <c r="B19" s="87"/>
      <c r="C19" s="88" t="str">
        <f>D18 &amp; " " &amp; E18 &amp; " " &amp;G18&amp; " " &amp;H18&amp; " " </f>
        <v>Desarolla dasboards interactivos mediante Power BI para visualizar datos integrados de Access y Excel en un entorno práctico </v>
      </c>
      <c r="D19" s="25"/>
      <c r="E19" s="25"/>
      <c r="F19" s="25"/>
      <c r="G19" s="25"/>
      <c r="H19" s="25"/>
      <c r="I19" s="25"/>
      <c r="J19" s="26"/>
      <c r="K19" s="5"/>
      <c r="L19" s="5"/>
      <c r="M19" s="5"/>
      <c r="N19" s="5"/>
      <c r="O19" s="5"/>
      <c r="P19" s="5"/>
      <c r="Q19" s="5"/>
      <c r="R19" s="5"/>
      <c r="S19" s="5"/>
      <c r="T19" s="5"/>
      <c r="U19" s="5"/>
      <c r="V19" s="5"/>
      <c r="W19" s="5"/>
      <c r="X19" s="5"/>
      <c r="Y19" s="5"/>
      <c r="Z19" s="5"/>
    </row>
    <row r="20">
      <c r="A20" s="5"/>
      <c r="B20" s="80">
        <v>5.0</v>
      </c>
      <c r="C20" s="18" t="s">
        <v>137</v>
      </c>
      <c r="D20" s="81" t="s">
        <v>201</v>
      </c>
      <c r="E20" s="89" t="s">
        <v>202</v>
      </c>
      <c r="F20" s="26"/>
      <c r="G20" s="90" t="s">
        <v>203</v>
      </c>
      <c r="H20" s="91" t="s">
        <v>204</v>
      </c>
      <c r="I20" s="26"/>
      <c r="J20" s="86"/>
      <c r="K20" s="5"/>
      <c r="L20" s="5"/>
      <c r="M20" s="5"/>
      <c r="N20" s="5"/>
      <c r="O20" s="5"/>
      <c r="P20" s="5"/>
      <c r="Q20" s="5"/>
      <c r="R20" s="5"/>
      <c r="S20" s="5"/>
      <c r="T20" s="5"/>
      <c r="U20" s="5"/>
      <c r="V20" s="5"/>
      <c r="W20" s="5"/>
      <c r="X20" s="5"/>
      <c r="Y20" s="5"/>
      <c r="Z20" s="5"/>
    </row>
    <row r="21">
      <c r="A21" s="5"/>
      <c r="B21" s="87"/>
      <c r="C21" s="88" t="str">
        <f>D20 &amp; " " &amp; E20 &amp; " " &amp;G20&amp; " " &amp;H20&amp; " " </f>
        <v>Evalúa la importancia de la ética en el uso de datos mediante el análisis de normativas y casos reales para proponer soluciones tecnológicas </v>
      </c>
      <c r="D21" s="25"/>
      <c r="E21" s="25"/>
      <c r="F21" s="25"/>
      <c r="G21" s="25"/>
      <c r="H21" s="25"/>
      <c r="I21" s="25"/>
      <c r="J21" s="26"/>
      <c r="K21" s="5"/>
      <c r="L21" s="5"/>
      <c r="M21" s="5"/>
      <c r="N21" s="5"/>
      <c r="O21" s="5"/>
      <c r="P21" s="5"/>
      <c r="Q21" s="5"/>
      <c r="R21" s="5"/>
      <c r="S21" s="5"/>
      <c r="T21" s="5"/>
      <c r="U21" s="5"/>
      <c r="V21" s="5"/>
      <c r="W21" s="5"/>
      <c r="X21" s="5"/>
      <c r="Y21" s="5"/>
      <c r="Z21" s="5"/>
    </row>
    <row r="22">
      <c r="A22" s="5"/>
      <c r="B22" s="80">
        <v>6.0</v>
      </c>
      <c r="C22" s="18" t="s">
        <v>137</v>
      </c>
      <c r="D22" s="81" t="s">
        <v>205</v>
      </c>
      <c r="E22" s="89" t="s">
        <v>206</v>
      </c>
      <c r="F22" s="26"/>
      <c r="G22" s="90" t="s">
        <v>207</v>
      </c>
      <c r="H22" s="91" t="s">
        <v>208</v>
      </c>
      <c r="I22" s="26"/>
      <c r="J22" s="86"/>
      <c r="K22" s="5"/>
      <c r="L22" s="5"/>
      <c r="M22" s="5"/>
      <c r="N22" s="5"/>
      <c r="O22" s="5"/>
      <c r="P22" s="5"/>
      <c r="Q22" s="5"/>
      <c r="R22" s="5"/>
      <c r="S22" s="5"/>
      <c r="T22" s="5"/>
      <c r="U22" s="5"/>
      <c r="V22" s="5"/>
      <c r="W22" s="5"/>
      <c r="X22" s="5"/>
      <c r="Y22" s="5"/>
      <c r="Z22" s="5"/>
    </row>
    <row r="23">
      <c r="A23" s="5"/>
      <c r="B23" s="87"/>
      <c r="C23" s="88" t="str">
        <f>D22 &amp; " " &amp; E22 &amp; " " &amp;G22&amp; " " &amp;H22&amp; " " </f>
        <v>Integra datos de múltiples fuentes con prácticas de laboratorio para generar reportes que appoyen la toma de decisiones </v>
      </c>
      <c r="D23" s="25"/>
      <c r="E23" s="25"/>
      <c r="F23" s="25"/>
      <c r="G23" s="25"/>
      <c r="H23" s="25"/>
      <c r="I23" s="25"/>
      <c r="J23" s="26"/>
      <c r="K23" s="5"/>
      <c r="L23" s="5"/>
      <c r="M23" s="5"/>
      <c r="N23" s="5"/>
      <c r="O23" s="5"/>
      <c r="P23" s="5"/>
      <c r="Q23" s="5"/>
      <c r="R23" s="5"/>
      <c r="S23" s="5"/>
      <c r="T23" s="5"/>
      <c r="U23" s="5"/>
      <c r="V23" s="5"/>
      <c r="W23" s="5"/>
      <c r="X23" s="5"/>
      <c r="Y23" s="5"/>
      <c r="Z23" s="5"/>
    </row>
    <row r="24">
      <c r="A24" s="5"/>
      <c r="B24" s="80">
        <v>7.0</v>
      </c>
      <c r="C24" s="18" t="s">
        <v>137</v>
      </c>
      <c r="D24" s="81" t="s">
        <v>209</v>
      </c>
      <c r="E24" s="89" t="s">
        <v>210</v>
      </c>
      <c r="F24" s="26"/>
      <c r="G24" s="90" t="s">
        <v>211</v>
      </c>
      <c r="H24" s="91" t="s">
        <v>212</v>
      </c>
      <c r="I24" s="26"/>
      <c r="J24" s="86"/>
      <c r="K24" s="5"/>
      <c r="L24" s="5"/>
      <c r="M24" s="5"/>
      <c r="N24" s="5"/>
      <c r="O24" s="5"/>
      <c r="P24" s="5"/>
      <c r="Q24" s="5"/>
      <c r="R24" s="5"/>
      <c r="S24" s="5"/>
      <c r="T24" s="5"/>
      <c r="U24" s="5"/>
      <c r="V24" s="5"/>
      <c r="W24" s="5"/>
      <c r="X24" s="5"/>
      <c r="Y24" s="5"/>
      <c r="Z24" s="5"/>
    </row>
    <row r="25">
      <c r="A25" s="5"/>
      <c r="B25" s="87"/>
      <c r="C25" s="88" t="str">
        <f>D24 &amp; " " &amp; E24 &amp; " " &amp;G24&amp; " " &amp;H24&amp; " " </f>
        <v>Crea un proyecto final de análisis y presentación de información utilizando Access Project y Power BI de manera conjunta bajo lineamientos de calidad </v>
      </c>
      <c r="D25" s="25"/>
      <c r="E25" s="25"/>
      <c r="F25" s="25"/>
      <c r="G25" s="25"/>
      <c r="H25" s="25"/>
      <c r="I25" s="25"/>
      <c r="J25" s="26"/>
      <c r="K25" s="5"/>
      <c r="L25" s="5"/>
      <c r="M25" s="5"/>
      <c r="N25" s="5"/>
      <c r="O25" s="5"/>
      <c r="P25" s="5"/>
      <c r="Q25" s="5"/>
      <c r="R25" s="5"/>
      <c r="S25" s="5"/>
      <c r="T25" s="5"/>
      <c r="U25" s="5"/>
      <c r="V25" s="5"/>
      <c r="W25" s="5"/>
      <c r="X25" s="5"/>
      <c r="Y25" s="5"/>
      <c r="Z25" s="5"/>
    </row>
    <row r="26">
      <c r="A26" s="5"/>
      <c r="B26" s="14" t="s">
        <v>214</v>
      </c>
      <c r="C26" s="5"/>
      <c r="D26" s="5"/>
      <c r="E26" s="5"/>
      <c r="F26" s="5"/>
      <c r="G26" s="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94" t="s">
        <v>215</v>
      </c>
      <c r="C28" s="25"/>
      <c r="D28" s="25"/>
      <c r="E28" s="25"/>
      <c r="F28" s="25"/>
      <c r="G28" s="25"/>
      <c r="H28" s="25"/>
      <c r="I28" s="25"/>
      <c r="J28" s="26"/>
      <c r="K28" s="5"/>
      <c r="L28" s="5"/>
      <c r="M28" s="5"/>
      <c r="N28" s="5"/>
      <c r="O28" s="5"/>
      <c r="P28" s="5"/>
      <c r="Q28" s="5"/>
      <c r="R28" s="5"/>
      <c r="S28" s="5"/>
      <c r="T28" s="5"/>
      <c r="U28" s="5"/>
      <c r="V28" s="5"/>
      <c r="W28" s="5"/>
      <c r="X28" s="5"/>
      <c r="Y28" s="5"/>
      <c r="Z28" s="5"/>
    </row>
    <row r="29">
      <c r="A29" s="5"/>
      <c r="B29" s="96" t="s">
        <v>216</v>
      </c>
      <c r="C29" s="97"/>
      <c r="D29" s="97"/>
      <c r="E29" s="97"/>
      <c r="F29" s="97"/>
      <c r="G29" s="97"/>
      <c r="H29" s="97"/>
      <c r="I29" s="97"/>
      <c r="J29" s="98"/>
      <c r="K29" s="5"/>
      <c r="L29" s="5"/>
      <c r="M29" s="5"/>
      <c r="N29" s="5"/>
      <c r="O29" s="5"/>
      <c r="P29" s="5"/>
      <c r="Q29" s="5"/>
      <c r="R29" s="5"/>
      <c r="S29" s="5"/>
      <c r="T29" s="5"/>
      <c r="U29" s="5"/>
      <c r="V29" s="5"/>
      <c r="W29" s="5"/>
      <c r="X29" s="5"/>
      <c r="Y29" s="5"/>
      <c r="Z29" s="5"/>
    </row>
    <row r="30">
      <c r="A30" s="5"/>
      <c r="B30" s="99"/>
      <c r="C30" s="100"/>
      <c r="D30" s="100"/>
      <c r="E30" s="100"/>
      <c r="F30" s="100"/>
      <c r="G30" s="100"/>
      <c r="H30" s="100"/>
      <c r="I30" s="100"/>
      <c r="J30" s="101"/>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36">
    <mergeCell ref="J6:P6"/>
    <mergeCell ref="J7:P7"/>
    <mergeCell ref="B1:P1"/>
    <mergeCell ref="C2:H2"/>
    <mergeCell ref="C3:H3"/>
    <mergeCell ref="B5:G5"/>
    <mergeCell ref="I5:P5"/>
    <mergeCell ref="C6:G6"/>
    <mergeCell ref="C7:G7"/>
    <mergeCell ref="C8:G8"/>
    <mergeCell ref="J8:P8"/>
    <mergeCell ref="E11:F11"/>
    <mergeCell ref="H11:I11"/>
    <mergeCell ref="E12:F12"/>
    <mergeCell ref="H12:I12"/>
    <mergeCell ref="C13:J13"/>
    <mergeCell ref="E14:F14"/>
    <mergeCell ref="H14:I14"/>
    <mergeCell ref="C15:J15"/>
    <mergeCell ref="E16:F16"/>
    <mergeCell ref="H16:I16"/>
    <mergeCell ref="C17:J17"/>
    <mergeCell ref="E18:F18"/>
    <mergeCell ref="E22:F22"/>
    <mergeCell ref="E24:F24"/>
    <mergeCell ref="H24:I24"/>
    <mergeCell ref="C25:J25"/>
    <mergeCell ref="B28:J28"/>
    <mergeCell ref="B29:J30"/>
    <mergeCell ref="H18:I18"/>
    <mergeCell ref="C19:J19"/>
    <mergeCell ref="E20:F20"/>
    <mergeCell ref="H20:I20"/>
    <mergeCell ref="C21:J21"/>
    <mergeCell ref="H22:I22"/>
    <mergeCell ref="C23:J23"/>
  </mergeCells>
  <dataValidations>
    <dataValidation type="list" allowBlank="1" showErrorMessage="1" sqref="C12 C14 C16 C18 C20 C22 C24">
      <formula1>"Especifica,General"</formula1>
    </dataValidation>
    <dataValidation type="list" allowBlank="1" showErrorMessage="1" sqref="C2">
      <formula1>Metadata!$A$2:$A$81</formula1>
    </dataValidation>
    <dataValidation type="list" allowBlank="1" showErrorMessage="1" sqref="C6:C8">
      <formula1>Metadata!$C$2:$C$10</formula1>
    </dataValidation>
    <dataValidation type="list" allowBlank="1" showErrorMessage="1" sqref="J6:J8">
      <formula1>Metadata!$D$2:$D$10</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75"/>
    <col customWidth="1" min="2" max="2" width="21.88"/>
    <col customWidth="1" min="3" max="3" width="125.5"/>
    <col customWidth="1" min="4" max="4" width="19.38"/>
    <col customWidth="1" min="5" max="5" width="35.25"/>
    <col customWidth="1" min="6" max="6" width="71.0"/>
    <col customWidth="1" min="7" max="7" width="4.63"/>
    <col customWidth="1" min="8" max="8" width="8.0"/>
  </cols>
  <sheetData>
    <row r="1" ht="15.75" customHeight="1"/>
    <row r="2" ht="15.75" customHeight="1">
      <c r="A2" s="4"/>
      <c r="B2" s="6" t="s">
        <v>2</v>
      </c>
    </row>
    <row r="3" ht="15.75" customHeight="1"/>
    <row r="4" ht="15.75" customHeight="1">
      <c r="B4" s="3" t="s">
        <v>1</v>
      </c>
      <c r="C4" s="8" t="s">
        <v>4</v>
      </c>
    </row>
    <row r="5" ht="15.75" customHeight="1">
      <c r="B5" s="3" t="s">
        <v>10</v>
      </c>
      <c r="C5" s="10" t="s">
        <v>6</v>
      </c>
    </row>
    <row r="6" ht="15.75" customHeight="1">
      <c r="H6" s="14"/>
    </row>
    <row r="7" ht="15.75" customHeight="1">
      <c r="H7" s="14"/>
    </row>
    <row r="8" ht="15.75" customHeight="1">
      <c r="A8" s="15"/>
      <c r="B8" s="18" t="s">
        <v>15</v>
      </c>
      <c r="C8" s="20" t="s">
        <v>16</v>
      </c>
      <c r="D8" s="18" t="s">
        <v>18</v>
      </c>
      <c r="E8" s="18" t="s">
        <v>19</v>
      </c>
      <c r="F8" s="18" t="s">
        <v>20</v>
      </c>
      <c r="G8" s="18" t="s">
        <v>22</v>
      </c>
      <c r="H8" s="18" t="s">
        <v>23</v>
      </c>
    </row>
    <row r="9" ht="15.75" customHeight="1">
      <c r="B9" s="24">
        <v>1.0</v>
      </c>
      <c r="C9" s="27" t="s">
        <v>24</v>
      </c>
      <c r="D9" s="28" t="s">
        <v>25</v>
      </c>
      <c r="E9" s="28" t="s">
        <v>27</v>
      </c>
      <c r="F9" s="28" t="s">
        <v>28</v>
      </c>
      <c r="G9" s="24"/>
      <c r="H9" s="30">
        <v>2.0</v>
      </c>
    </row>
    <row r="10" ht="15.75" customHeight="1">
      <c r="B10" s="24">
        <v>2.0</v>
      </c>
      <c r="C10" s="27" t="s">
        <v>24</v>
      </c>
      <c r="D10" s="31" t="s">
        <v>25</v>
      </c>
      <c r="E10" s="31" t="s">
        <v>27</v>
      </c>
      <c r="F10" s="31" t="s">
        <v>30</v>
      </c>
      <c r="G10" s="32"/>
      <c r="H10" s="30">
        <v>2.0</v>
      </c>
    </row>
    <row r="11" ht="15.75" customHeight="1">
      <c r="B11" s="24">
        <v>3.0</v>
      </c>
      <c r="C11" s="27" t="s">
        <v>24</v>
      </c>
      <c r="D11" s="37" t="s">
        <v>25</v>
      </c>
      <c r="E11" s="37" t="s">
        <v>27</v>
      </c>
      <c r="F11" s="37" t="s">
        <v>34</v>
      </c>
      <c r="G11" s="32"/>
      <c r="H11" s="30">
        <v>2.0</v>
      </c>
    </row>
    <row r="12" ht="15.75" customHeight="1">
      <c r="B12" s="24">
        <v>4.0</v>
      </c>
      <c r="C12" s="27" t="s">
        <v>24</v>
      </c>
      <c r="D12" s="37" t="s">
        <v>25</v>
      </c>
      <c r="E12" s="37" t="s">
        <v>27</v>
      </c>
      <c r="F12" s="37" t="s">
        <v>35</v>
      </c>
      <c r="G12" s="32"/>
      <c r="H12" s="30">
        <v>2.0</v>
      </c>
    </row>
    <row r="13" ht="15.75" customHeight="1">
      <c r="B13" s="24">
        <v>5.0</v>
      </c>
      <c r="C13" s="27" t="s">
        <v>24</v>
      </c>
      <c r="D13" s="37" t="s">
        <v>25</v>
      </c>
      <c r="E13" s="37" t="s">
        <v>36</v>
      </c>
      <c r="F13" s="37" t="s">
        <v>36</v>
      </c>
      <c r="G13" s="32"/>
      <c r="H13" s="30">
        <v>2.0</v>
      </c>
    </row>
    <row r="14" ht="15.75" customHeight="1">
      <c r="B14" s="24">
        <v>6.0</v>
      </c>
      <c r="C14" s="27" t="s">
        <v>24</v>
      </c>
      <c r="D14" s="37" t="s">
        <v>25</v>
      </c>
      <c r="E14" s="37" t="s">
        <v>38</v>
      </c>
      <c r="F14" s="37" t="s">
        <v>30</v>
      </c>
      <c r="G14" s="32"/>
      <c r="H14" s="30">
        <v>2.0</v>
      </c>
    </row>
    <row r="15" ht="15.75" customHeight="1">
      <c r="B15" s="24">
        <v>7.0</v>
      </c>
      <c r="C15" s="27" t="s">
        <v>24</v>
      </c>
      <c r="D15" s="37" t="s">
        <v>25</v>
      </c>
      <c r="E15" s="43" t="s">
        <v>41</v>
      </c>
      <c r="F15" s="45" t="s">
        <v>42</v>
      </c>
      <c r="G15" s="32"/>
      <c r="H15" s="30">
        <v>3.0</v>
      </c>
    </row>
    <row r="16" ht="15.75" customHeight="1">
      <c r="B16" s="24">
        <v>8.0</v>
      </c>
      <c r="C16" s="27" t="s">
        <v>24</v>
      </c>
      <c r="D16" s="37" t="s">
        <v>25</v>
      </c>
      <c r="E16" s="43" t="s">
        <v>44</v>
      </c>
      <c r="F16" s="45" t="s">
        <v>45</v>
      </c>
      <c r="G16" s="32"/>
      <c r="H16" s="30">
        <v>3.0</v>
      </c>
    </row>
    <row r="17" ht="15.75" customHeight="1">
      <c r="B17" s="24">
        <v>9.0</v>
      </c>
      <c r="C17" s="27" t="s">
        <v>24</v>
      </c>
      <c r="D17" s="37" t="s">
        <v>25</v>
      </c>
      <c r="E17" s="43" t="s">
        <v>46</v>
      </c>
      <c r="F17" s="48" t="s">
        <v>47</v>
      </c>
      <c r="G17" s="32"/>
      <c r="H17" s="30">
        <v>3.0</v>
      </c>
    </row>
    <row r="18" ht="15.75" customHeight="1">
      <c r="B18" s="24">
        <v>10.0</v>
      </c>
      <c r="C18" s="27" t="s">
        <v>24</v>
      </c>
      <c r="D18" s="37" t="s">
        <v>25</v>
      </c>
      <c r="E18" s="43" t="s">
        <v>50</v>
      </c>
      <c r="F18" s="48" t="s">
        <v>52</v>
      </c>
      <c r="G18" s="32"/>
      <c r="H18" s="30">
        <v>3.0</v>
      </c>
    </row>
    <row r="19" ht="15.75" customHeight="1">
      <c r="B19" s="24">
        <v>11.0</v>
      </c>
      <c r="C19" s="27" t="s">
        <v>24</v>
      </c>
      <c r="D19" s="37" t="s">
        <v>25</v>
      </c>
      <c r="E19" s="43" t="s">
        <v>54</v>
      </c>
      <c r="F19" s="48" t="s">
        <v>56</v>
      </c>
      <c r="G19" s="32"/>
      <c r="H19" s="30">
        <v>3.0</v>
      </c>
    </row>
    <row r="20" ht="15.75" customHeight="1">
      <c r="B20" s="24">
        <v>12.0</v>
      </c>
      <c r="C20" s="27" t="s">
        <v>24</v>
      </c>
      <c r="D20" s="37" t="s">
        <v>25</v>
      </c>
      <c r="E20" s="43" t="s">
        <v>57</v>
      </c>
      <c r="F20" s="48" t="s">
        <v>58</v>
      </c>
      <c r="G20" s="32"/>
      <c r="H20" s="30">
        <v>3.0</v>
      </c>
    </row>
    <row r="21" ht="15.75" customHeight="1">
      <c r="B21" s="24">
        <v>13.0</v>
      </c>
      <c r="C21" s="27" t="s">
        <v>24</v>
      </c>
      <c r="D21" s="37" t="s">
        <v>25</v>
      </c>
      <c r="E21" s="43" t="s">
        <v>61</v>
      </c>
      <c r="F21" s="45" t="s">
        <v>62</v>
      </c>
      <c r="G21" s="32"/>
      <c r="H21" s="30">
        <v>3.0</v>
      </c>
    </row>
    <row r="22" ht="15.75" customHeight="1">
      <c r="B22" s="24">
        <v>14.0</v>
      </c>
      <c r="C22" s="27" t="s">
        <v>24</v>
      </c>
      <c r="D22" s="37" t="s">
        <v>25</v>
      </c>
      <c r="E22" s="37" t="s">
        <v>64</v>
      </c>
      <c r="F22" s="37" t="s">
        <v>65</v>
      </c>
      <c r="G22" s="32"/>
      <c r="H22" s="30">
        <v>4.0</v>
      </c>
    </row>
    <row r="23" ht="15.75" customHeight="1">
      <c r="B23" s="24">
        <v>15.0</v>
      </c>
      <c r="C23" s="27" t="s">
        <v>66</v>
      </c>
      <c r="D23" s="37" t="s">
        <v>25</v>
      </c>
      <c r="E23" s="37" t="s">
        <v>68</v>
      </c>
      <c r="F23" s="37" t="s">
        <v>69</v>
      </c>
      <c r="G23" s="32"/>
      <c r="H23" s="30">
        <v>4.0</v>
      </c>
    </row>
    <row r="24" ht="15.75" customHeight="1">
      <c r="B24" s="24">
        <v>16.0</v>
      </c>
      <c r="C24" s="27" t="s">
        <v>66</v>
      </c>
      <c r="D24" s="37" t="s">
        <v>25</v>
      </c>
      <c r="E24" s="37" t="s">
        <v>68</v>
      </c>
      <c r="F24" s="37" t="s">
        <v>71</v>
      </c>
      <c r="G24" s="32"/>
      <c r="H24" s="30">
        <v>4.0</v>
      </c>
    </row>
    <row r="25" ht="15.75" customHeight="1">
      <c r="B25" s="24">
        <v>17.0</v>
      </c>
      <c r="C25" s="27" t="s">
        <v>66</v>
      </c>
      <c r="D25" s="37" t="s">
        <v>25</v>
      </c>
      <c r="E25" s="37" t="s">
        <v>68</v>
      </c>
      <c r="F25" s="37" t="s">
        <v>74</v>
      </c>
      <c r="G25" s="32"/>
      <c r="H25" s="30">
        <v>4.0</v>
      </c>
    </row>
    <row r="26" ht="15.75" customHeight="1">
      <c r="B26" s="24">
        <v>18.0</v>
      </c>
      <c r="C26" s="27" t="s">
        <v>66</v>
      </c>
      <c r="D26" s="37" t="s">
        <v>25</v>
      </c>
      <c r="E26" s="37" t="s">
        <v>68</v>
      </c>
      <c r="F26" s="37" t="s">
        <v>76</v>
      </c>
      <c r="G26" s="32"/>
      <c r="H26" s="30">
        <v>4.0</v>
      </c>
    </row>
    <row r="27" ht="15.75" customHeight="1">
      <c r="B27" s="24">
        <v>19.0</v>
      </c>
      <c r="C27" s="27" t="s">
        <v>66</v>
      </c>
      <c r="D27" s="37" t="s">
        <v>25</v>
      </c>
      <c r="E27" s="37" t="s">
        <v>68</v>
      </c>
      <c r="F27" s="37" t="s">
        <v>78</v>
      </c>
      <c r="G27" s="32"/>
      <c r="H27" s="30">
        <v>4.0</v>
      </c>
    </row>
    <row r="28" ht="15.75" customHeight="1">
      <c r="B28" s="24">
        <v>20.0</v>
      </c>
      <c r="C28" s="27" t="s">
        <v>66</v>
      </c>
      <c r="D28" s="37" t="s">
        <v>25</v>
      </c>
      <c r="E28" s="37" t="s">
        <v>68</v>
      </c>
      <c r="F28" s="37" t="s">
        <v>79</v>
      </c>
      <c r="G28" s="32"/>
      <c r="H28" s="30">
        <v>4.0</v>
      </c>
    </row>
    <row r="29" ht="15.75" customHeight="1">
      <c r="B29" s="24">
        <v>21.0</v>
      </c>
      <c r="C29" s="27" t="s">
        <v>66</v>
      </c>
      <c r="D29" s="37" t="s">
        <v>25</v>
      </c>
      <c r="E29" s="37" t="s">
        <v>68</v>
      </c>
      <c r="F29" s="37" t="s">
        <v>82</v>
      </c>
      <c r="G29" s="32"/>
      <c r="H29" s="30">
        <v>4.0</v>
      </c>
    </row>
    <row r="30" ht="15.75" customHeight="1">
      <c r="B30" s="24">
        <v>22.0</v>
      </c>
      <c r="C30" s="27" t="s">
        <v>66</v>
      </c>
      <c r="D30" s="37" t="s">
        <v>25</v>
      </c>
      <c r="E30" s="37" t="s">
        <v>83</v>
      </c>
      <c r="F30" s="65" t="s">
        <v>84</v>
      </c>
      <c r="G30" s="32"/>
      <c r="H30" s="30">
        <v>5.0</v>
      </c>
    </row>
    <row r="31" ht="15.75" customHeight="1">
      <c r="B31" s="24">
        <v>23.0</v>
      </c>
      <c r="C31" s="27" t="s">
        <v>66</v>
      </c>
      <c r="D31" s="37" t="s">
        <v>25</v>
      </c>
      <c r="E31" s="37" t="s">
        <v>83</v>
      </c>
      <c r="F31" s="65" t="s">
        <v>89</v>
      </c>
      <c r="G31" s="32"/>
      <c r="H31" s="30">
        <v>5.0</v>
      </c>
    </row>
    <row r="32" ht="15.75" customHeight="1">
      <c r="B32" s="24">
        <v>24.0</v>
      </c>
      <c r="C32" s="27" t="s">
        <v>66</v>
      </c>
      <c r="D32" s="37" t="s">
        <v>25</v>
      </c>
      <c r="E32" s="37" t="s">
        <v>83</v>
      </c>
      <c r="F32" s="65" t="s">
        <v>91</v>
      </c>
      <c r="G32" s="32"/>
      <c r="H32" s="30">
        <v>5.0</v>
      </c>
    </row>
    <row r="33" ht="15.75" customHeight="1">
      <c r="B33" s="24">
        <v>25.0</v>
      </c>
      <c r="C33" s="27" t="s">
        <v>66</v>
      </c>
      <c r="D33" s="37" t="s">
        <v>25</v>
      </c>
      <c r="E33" s="37" t="s">
        <v>83</v>
      </c>
      <c r="F33" s="65" t="s">
        <v>95</v>
      </c>
      <c r="G33" s="32"/>
      <c r="H33" s="30">
        <v>5.0</v>
      </c>
    </row>
    <row r="34" ht="15.75" customHeight="1">
      <c r="B34" s="24">
        <v>26.0</v>
      </c>
      <c r="C34" s="27" t="s">
        <v>66</v>
      </c>
      <c r="D34" s="37" t="s">
        <v>25</v>
      </c>
      <c r="E34" s="37" t="s">
        <v>83</v>
      </c>
      <c r="F34" s="65" t="s">
        <v>97</v>
      </c>
      <c r="G34" s="32"/>
      <c r="H34" s="30">
        <v>5.0</v>
      </c>
    </row>
    <row r="35" ht="15.75" customHeight="1">
      <c r="B35" s="24">
        <v>27.0</v>
      </c>
      <c r="C35" s="27" t="s">
        <v>66</v>
      </c>
      <c r="D35" s="37" t="s">
        <v>25</v>
      </c>
      <c r="E35" s="37" t="s">
        <v>83</v>
      </c>
      <c r="F35" s="65" t="s">
        <v>98</v>
      </c>
      <c r="G35" s="32"/>
      <c r="H35" s="30">
        <v>5.0</v>
      </c>
    </row>
    <row r="36" ht="15.75" customHeight="1">
      <c r="B36" s="24">
        <v>28.0</v>
      </c>
      <c r="C36" s="27" t="s">
        <v>66</v>
      </c>
      <c r="D36" s="37" t="s">
        <v>25</v>
      </c>
      <c r="E36" s="37" t="s">
        <v>83</v>
      </c>
      <c r="F36" s="65" t="s">
        <v>100</v>
      </c>
      <c r="G36" s="32"/>
      <c r="H36" s="30">
        <v>5.0</v>
      </c>
    </row>
    <row r="37" ht="15.75" customHeight="1">
      <c r="B37" s="24">
        <v>29.0</v>
      </c>
      <c r="C37" s="73" t="s">
        <v>101</v>
      </c>
      <c r="D37" s="37" t="s">
        <v>104</v>
      </c>
      <c r="E37" s="37" t="s">
        <v>105</v>
      </c>
      <c r="F37" s="37" t="s">
        <v>107</v>
      </c>
      <c r="G37" s="32"/>
      <c r="H37" s="30">
        <v>6.0</v>
      </c>
    </row>
    <row r="38" ht="15.75" customHeight="1">
      <c r="B38" s="24">
        <v>30.0</v>
      </c>
      <c r="C38" s="73" t="s">
        <v>101</v>
      </c>
      <c r="D38" s="37" t="s">
        <v>104</v>
      </c>
      <c r="E38" s="37" t="s">
        <v>105</v>
      </c>
      <c r="F38" s="37" t="s">
        <v>111</v>
      </c>
      <c r="G38" s="32"/>
      <c r="H38" s="30">
        <v>6.0</v>
      </c>
    </row>
    <row r="39" ht="15.75" customHeight="1">
      <c r="B39" s="24">
        <v>31.0</v>
      </c>
      <c r="C39" s="73" t="s">
        <v>101</v>
      </c>
      <c r="D39" s="37" t="s">
        <v>104</v>
      </c>
      <c r="E39" s="37" t="s">
        <v>117</v>
      </c>
      <c r="F39" s="37" t="s">
        <v>119</v>
      </c>
      <c r="G39" s="32"/>
      <c r="H39" s="30">
        <v>6.0</v>
      </c>
    </row>
    <row r="40" ht="15.75" customHeight="1">
      <c r="B40" s="24">
        <v>32.0</v>
      </c>
      <c r="C40" s="73" t="s">
        <v>101</v>
      </c>
      <c r="D40" s="37" t="s">
        <v>104</v>
      </c>
      <c r="E40" s="37" t="s">
        <v>117</v>
      </c>
      <c r="F40" s="37" t="s">
        <v>122</v>
      </c>
      <c r="G40" s="32"/>
      <c r="H40" s="30">
        <v>6.0</v>
      </c>
    </row>
    <row r="41" ht="15.75" customHeight="1">
      <c r="B41" s="24">
        <v>33.0</v>
      </c>
      <c r="C41" s="73" t="s">
        <v>101</v>
      </c>
      <c r="D41" s="37" t="s">
        <v>104</v>
      </c>
      <c r="E41" s="37" t="s">
        <v>117</v>
      </c>
      <c r="F41" s="37" t="s">
        <v>125</v>
      </c>
      <c r="G41" s="32"/>
      <c r="H41" s="30">
        <v>6.0</v>
      </c>
    </row>
    <row r="42" ht="15.75" customHeight="1">
      <c r="B42" s="24">
        <v>34.0</v>
      </c>
      <c r="C42" s="73" t="s">
        <v>101</v>
      </c>
      <c r="D42" s="37" t="s">
        <v>104</v>
      </c>
      <c r="E42" s="37" t="s">
        <v>117</v>
      </c>
      <c r="F42" s="37" t="s">
        <v>126</v>
      </c>
      <c r="G42" s="32"/>
      <c r="H42" s="30">
        <v>6.0</v>
      </c>
    </row>
    <row r="43" ht="15.75" customHeight="1">
      <c r="B43" s="24">
        <v>35.0</v>
      </c>
      <c r="C43" s="73" t="s">
        <v>101</v>
      </c>
      <c r="D43" s="37" t="s">
        <v>104</v>
      </c>
      <c r="E43" s="37" t="s">
        <v>117</v>
      </c>
      <c r="F43" s="37" t="s">
        <v>126</v>
      </c>
      <c r="G43" s="32"/>
      <c r="H43" s="30">
        <v>6.0</v>
      </c>
    </row>
    <row r="44" ht="15.75" customHeight="1">
      <c r="B44" s="24">
        <v>36.0</v>
      </c>
      <c r="C44" s="73" t="s">
        <v>101</v>
      </c>
      <c r="D44" s="37" t="s">
        <v>104</v>
      </c>
      <c r="E44" s="37" t="s">
        <v>133</v>
      </c>
      <c r="F44" s="37" t="s">
        <v>134</v>
      </c>
      <c r="G44" s="32"/>
      <c r="H44" s="30">
        <v>7.0</v>
      </c>
    </row>
    <row r="45" ht="15.75" customHeight="1">
      <c r="B45" s="24">
        <v>37.0</v>
      </c>
      <c r="C45" s="73" t="s">
        <v>101</v>
      </c>
      <c r="D45" s="37" t="s">
        <v>104</v>
      </c>
      <c r="E45" s="37" t="s">
        <v>133</v>
      </c>
      <c r="F45" s="37" t="s">
        <v>135</v>
      </c>
      <c r="G45" s="32"/>
      <c r="H45" s="30">
        <v>7.0</v>
      </c>
    </row>
    <row r="46" ht="15.75" customHeight="1">
      <c r="B46" s="24">
        <v>38.0</v>
      </c>
      <c r="C46" s="73" t="s">
        <v>101</v>
      </c>
      <c r="D46" s="37" t="s">
        <v>104</v>
      </c>
      <c r="E46" s="37" t="s">
        <v>133</v>
      </c>
      <c r="F46" s="37" t="s">
        <v>136</v>
      </c>
      <c r="G46" s="32"/>
      <c r="H46" s="30">
        <v>7.0</v>
      </c>
    </row>
    <row r="47" ht="15.75" customHeight="1">
      <c r="B47" s="24">
        <v>39.0</v>
      </c>
      <c r="C47" s="73" t="s">
        <v>101</v>
      </c>
      <c r="D47" s="37" t="s">
        <v>104</v>
      </c>
      <c r="E47" s="37" t="s">
        <v>138</v>
      </c>
      <c r="F47" s="37" t="s">
        <v>139</v>
      </c>
      <c r="G47" s="32"/>
      <c r="H47" s="30">
        <v>7.0</v>
      </c>
    </row>
    <row r="48" ht="15.75" customHeight="1">
      <c r="B48" s="24">
        <v>40.0</v>
      </c>
      <c r="C48" s="73" t="s">
        <v>101</v>
      </c>
      <c r="D48" s="37" t="s">
        <v>104</v>
      </c>
      <c r="E48" s="37" t="s">
        <v>138</v>
      </c>
      <c r="F48" s="37" t="s">
        <v>141</v>
      </c>
      <c r="G48" s="32"/>
      <c r="H48" s="30">
        <v>7.0</v>
      </c>
    </row>
    <row r="49" ht="15.75" customHeight="1">
      <c r="B49" s="24">
        <v>41.0</v>
      </c>
      <c r="C49" s="73" t="s">
        <v>101</v>
      </c>
      <c r="D49" s="37" t="s">
        <v>104</v>
      </c>
      <c r="E49" s="37" t="s">
        <v>138</v>
      </c>
      <c r="F49" s="37" t="s">
        <v>142</v>
      </c>
      <c r="G49" s="32"/>
      <c r="H49" s="30">
        <v>7.0</v>
      </c>
    </row>
    <row r="50" ht="15.75" customHeight="1">
      <c r="B50" s="24">
        <v>42.0</v>
      </c>
      <c r="C50" s="73" t="s">
        <v>101</v>
      </c>
      <c r="D50" s="37" t="s">
        <v>104</v>
      </c>
      <c r="E50" s="37" t="s">
        <v>144</v>
      </c>
      <c r="F50" s="37" t="s">
        <v>145</v>
      </c>
      <c r="G50" s="32"/>
      <c r="H50" s="30">
        <v>7.0</v>
      </c>
    </row>
    <row r="51" ht="15.75" customHeight="1">
      <c r="B51" s="24">
        <v>43.0</v>
      </c>
      <c r="C51" s="73" t="s">
        <v>146</v>
      </c>
      <c r="D51" s="37" t="s">
        <v>147</v>
      </c>
      <c r="E51" s="37" t="s">
        <v>148</v>
      </c>
      <c r="F51" s="37" t="s">
        <v>149</v>
      </c>
      <c r="G51" s="32"/>
      <c r="H51" s="30">
        <v>8.0</v>
      </c>
    </row>
    <row r="52" ht="15.75" customHeight="1">
      <c r="B52" s="24">
        <v>44.0</v>
      </c>
      <c r="C52" s="73" t="s">
        <v>146</v>
      </c>
      <c r="D52" s="37" t="s">
        <v>147</v>
      </c>
      <c r="E52" s="37" t="s">
        <v>148</v>
      </c>
      <c r="F52" s="37" t="s">
        <v>151</v>
      </c>
      <c r="G52" s="32"/>
      <c r="H52" s="30">
        <v>8.0</v>
      </c>
    </row>
    <row r="53" ht="15.75" customHeight="1">
      <c r="B53" s="24">
        <v>45.0</v>
      </c>
      <c r="C53" s="73" t="s">
        <v>146</v>
      </c>
      <c r="D53" s="37" t="s">
        <v>147</v>
      </c>
      <c r="E53" s="37" t="s">
        <v>148</v>
      </c>
      <c r="F53" s="37" t="s">
        <v>153</v>
      </c>
      <c r="G53" s="32"/>
      <c r="H53" s="30">
        <v>8.0</v>
      </c>
    </row>
    <row r="54" ht="15.75" customHeight="1">
      <c r="B54" s="24">
        <v>46.0</v>
      </c>
      <c r="C54" s="73" t="s">
        <v>146</v>
      </c>
      <c r="D54" s="37" t="s">
        <v>147</v>
      </c>
      <c r="E54" s="37" t="s">
        <v>148</v>
      </c>
      <c r="F54" s="37" t="s">
        <v>155</v>
      </c>
      <c r="G54" s="32"/>
      <c r="H54" s="30">
        <v>8.0</v>
      </c>
    </row>
    <row r="55" ht="15.75" customHeight="1">
      <c r="B55" s="24">
        <v>47.0</v>
      </c>
      <c r="C55" s="73" t="s">
        <v>146</v>
      </c>
      <c r="D55" s="37" t="s">
        <v>147</v>
      </c>
      <c r="E55" s="37" t="s">
        <v>148</v>
      </c>
      <c r="F55" s="37" t="s">
        <v>158</v>
      </c>
      <c r="G55" s="32"/>
      <c r="H55" s="30">
        <v>8.0</v>
      </c>
    </row>
    <row r="56" ht="15.75" customHeight="1">
      <c r="B56" s="24">
        <v>48.0</v>
      </c>
      <c r="C56" s="73" t="s">
        <v>146</v>
      </c>
      <c r="D56" s="37" t="s">
        <v>147</v>
      </c>
      <c r="E56" s="37" t="s">
        <v>148</v>
      </c>
      <c r="F56" s="37" t="s">
        <v>159</v>
      </c>
      <c r="G56" s="32"/>
      <c r="H56" s="30">
        <v>8.0</v>
      </c>
    </row>
    <row r="57" ht="15.75" customHeight="1">
      <c r="B57" s="24">
        <v>49.0</v>
      </c>
      <c r="C57" s="73" t="s">
        <v>146</v>
      </c>
      <c r="D57" s="37" t="s">
        <v>147</v>
      </c>
      <c r="E57" s="37" t="s">
        <v>148</v>
      </c>
      <c r="F57" s="37" t="s">
        <v>161</v>
      </c>
      <c r="G57" s="32"/>
      <c r="H57" s="30">
        <v>8.0</v>
      </c>
    </row>
    <row r="58" ht="15.75" customHeight="1">
      <c r="B58" s="24">
        <v>50.0</v>
      </c>
      <c r="C58" s="73" t="s">
        <v>162</v>
      </c>
      <c r="D58" s="37" t="s">
        <v>147</v>
      </c>
      <c r="E58" s="37" t="s">
        <v>163</v>
      </c>
      <c r="F58" s="37" t="s">
        <v>164</v>
      </c>
      <c r="G58" s="32"/>
      <c r="H58" s="30">
        <v>9.0</v>
      </c>
    </row>
    <row r="59" ht="15.75" customHeight="1">
      <c r="B59" s="24">
        <v>51.0</v>
      </c>
      <c r="C59" s="73" t="s">
        <v>162</v>
      </c>
      <c r="D59" s="37" t="s">
        <v>147</v>
      </c>
      <c r="E59" s="37" t="s">
        <v>163</v>
      </c>
      <c r="F59" s="37" t="s">
        <v>166</v>
      </c>
      <c r="G59" s="32"/>
      <c r="H59" s="30">
        <v>9.0</v>
      </c>
    </row>
    <row r="60" ht="15.75" customHeight="1">
      <c r="B60" s="24">
        <v>52.0</v>
      </c>
      <c r="C60" s="73" t="s">
        <v>162</v>
      </c>
      <c r="D60" s="37" t="s">
        <v>147</v>
      </c>
      <c r="E60" s="37" t="s">
        <v>163</v>
      </c>
      <c r="F60" s="37" t="s">
        <v>167</v>
      </c>
      <c r="G60" s="32"/>
      <c r="H60" s="30">
        <v>9.0</v>
      </c>
    </row>
    <row r="61" ht="15.75" customHeight="1">
      <c r="B61" s="24">
        <v>53.0</v>
      </c>
      <c r="C61" s="73" t="s">
        <v>162</v>
      </c>
      <c r="D61" s="37" t="s">
        <v>147</v>
      </c>
      <c r="E61" s="37" t="s">
        <v>163</v>
      </c>
      <c r="F61" s="37" t="s">
        <v>169</v>
      </c>
      <c r="G61" s="32"/>
      <c r="H61" s="30">
        <v>9.0</v>
      </c>
    </row>
    <row r="62" ht="15.75" customHeight="1">
      <c r="B62" s="24">
        <v>54.0</v>
      </c>
      <c r="C62" s="73" t="s">
        <v>162</v>
      </c>
      <c r="D62" s="37" t="s">
        <v>147</v>
      </c>
      <c r="E62" s="37" t="s">
        <v>163</v>
      </c>
      <c r="F62" s="37" t="s">
        <v>170</v>
      </c>
      <c r="G62" s="32"/>
      <c r="H62" s="30">
        <v>9.0</v>
      </c>
    </row>
    <row r="63" ht="15.75" customHeight="1">
      <c r="B63" s="24">
        <v>55.0</v>
      </c>
      <c r="C63" s="73" t="s">
        <v>162</v>
      </c>
      <c r="D63" s="37" t="s">
        <v>147</v>
      </c>
      <c r="E63" s="37" t="s">
        <v>163</v>
      </c>
      <c r="F63" s="37" t="s">
        <v>171</v>
      </c>
      <c r="G63" s="32"/>
      <c r="H63" s="30">
        <v>9.0</v>
      </c>
    </row>
    <row r="64" ht="15.75" customHeight="1">
      <c r="B64" s="24">
        <v>56.0</v>
      </c>
      <c r="C64" s="73" t="s">
        <v>162</v>
      </c>
      <c r="D64" s="37" t="s">
        <v>147</v>
      </c>
      <c r="E64" s="37" t="s">
        <v>163</v>
      </c>
      <c r="F64" s="37" t="s">
        <v>173</v>
      </c>
      <c r="G64" s="32"/>
      <c r="H64" s="30">
        <v>9.0</v>
      </c>
    </row>
    <row r="65" ht="15.75" customHeight="1">
      <c r="B65" s="24">
        <v>57.0</v>
      </c>
      <c r="C65" s="73" t="s">
        <v>162</v>
      </c>
      <c r="D65" s="37" t="s">
        <v>147</v>
      </c>
      <c r="E65" s="37" t="s">
        <v>163</v>
      </c>
      <c r="F65" s="37" t="s">
        <v>174</v>
      </c>
      <c r="G65" s="32"/>
      <c r="H65" s="30">
        <v>10.0</v>
      </c>
    </row>
    <row r="66" ht="15.75" customHeight="1">
      <c r="B66" s="24">
        <v>58.0</v>
      </c>
      <c r="C66" s="73" t="s">
        <v>162</v>
      </c>
      <c r="D66" s="37" t="s">
        <v>147</v>
      </c>
      <c r="E66" s="37" t="s">
        <v>163</v>
      </c>
      <c r="F66" s="37" t="s">
        <v>176</v>
      </c>
      <c r="G66" s="32"/>
      <c r="H66" s="30">
        <v>10.0</v>
      </c>
    </row>
    <row r="67" ht="15.75" customHeight="1">
      <c r="B67" s="24">
        <v>59.0</v>
      </c>
      <c r="C67" s="73" t="s">
        <v>162</v>
      </c>
      <c r="D67" s="37" t="s">
        <v>147</v>
      </c>
      <c r="E67" s="37" t="s">
        <v>163</v>
      </c>
      <c r="F67" s="37" t="s">
        <v>177</v>
      </c>
      <c r="G67" s="32"/>
      <c r="H67" s="30">
        <v>10.0</v>
      </c>
    </row>
    <row r="68" ht="15.75" customHeight="1">
      <c r="B68" s="24">
        <v>60.0</v>
      </c>
      <c r="C68" s="73" t="s">
        <v>162</v>
      </c>
      <c r="D68" s="37" t="s">
        <v>147</v>
      </c>
      <c r="E68" s="37" t="s">
        <v>163</v>
      </c>
      <c r="F68" s="37" t="s">
        <v>180</v>
      </c>
      <c r="G68" s="32"/>
      <c r="H68" s="30">
        <v>10.0</v>
      </c>
    </row>
    <row r="69" ht="15.75" customHeight="1">
      <c r="B69" s="24">
        <v>61.0</v>
      </c>
      <c r="C69" s="73" t="s">
        <v>162</v>
      </c>
      <c r="D69" s="37" t="s">
        <v>147</v>
      </c>
      <c r="E69" s="37" t="s">
        <v>163</v>
      </c>
      <c r="F69" s="37" t="s">
        <v>182</v>
      </c>
      <c r="G69" s="32"/>
      <c r="H69" s="30">
        <v>10.0</v>
      </c>
    </row>
    <row r="70" ht="15.75" customHeight="1">
      <c r="B70" s="24">
        <v>62.0</v>
      </c>
      <c r="C70" s="73" t="s">
        <v>162</v>
      </c>
      <c r="D70" s="37" t="s">
        <v>147</v>
      </c>
      <c r="E70" s="37" t="s">
        <v>163</v>
      </c>
      <c r="F70" s="37" t="s">
        <v>184</v>
      </c>
      <c r="G70" s="32"/>
      <c r="H70" s="30">
        <v>10.0</v>
      </c>
    </row>
    <row r="71" ht="15.75" customHeight="1">
      <c r="B71" s="24">
        <v>63.0</v>
      </c>
      <c r="C71" s="73" t="s">
        <v>162</v>
      </c>
      <c r="D71" s="37" t="s">
        <v>147</v>
      </c>
      <c r="E71" s="37" t="s">
        <v>163</v>
      </c>
      <c r="F71" s="37" t="s">
        <v>185</v>
      </c>
      <c r="G71" s="32"/>
      <c r="H71" s="30">
        <v>10.0</v>
      </c>
    </row>
    <row r="72" ht="15.75" customHeight="1">
      <c r="B72" s="24">
        <v>64.0</v>
      </c>
      <c r="C72" s="73" t="s">
        <v>162</v>
      </c>
      <c r="D72" s="37" t="s">
        <v>147</v>
      </c>
      <c r="E72" s="37" t="s">
        <v>163</v>
      </c>
      <c r="F72" s="92" t="s">
        <v>186</v>
      </c>
      <c r="G72" s="32"/>
      <c r="H72" s="30">
        <v>11.0</v>
      </c>
    </row>
    <row r="73" ht="15.75" customHeight="1">
      <c r="B73" s="24">
        <v>65.0</v>
      </c>
      <c r="C73" s="73" t="s">
        <v>162</v>
      </c>
      <c r="D73" s="37" t="s">
        <v>147</v>
      </c>
      <c r="E73" s="37" t="s">
        <v>163</v>
      </c>
      <c r="F73" s="92" t="s">
        <v>187</v>
      </c>
      <c r="G73" s="32"/>
      <c r="H73" s="30">
        <v>11.0</v>
      </c>
    </row>
    <row r="74" ht="15.75" customHeight="1">
      <c r="B74" s="24">
        <v>66.0</v>
      </c>
      <c r="C74" s="73" t="s">
        <v>162</v>
      </c>
      <c r="D74" s="37" t="s">
        <v>147</v>
      </c>
      <c r="E74" s="37" t="s">
        <v>163</v>
      </c>
      <c r="F74" s="92" t="s">
        <v>188</v>
      </c>
      <c r="G74" s="32"/>
      <c r="H74" s="30">
        <v>11.0</v>
      </c>
    </row>
    <row r="75" ht="15.75" customHeight="1">
      <c r="B75" s="24">
        <v>67.0</v>
      </c>
      <c r="C75" s="73" t="s">
        <v>162</v>
      </c>
      <c r="D75" s="37" t="s">
        <v>147</v>
      </c>
      <c r="E75" s="37" t="s">
        <v>163</v>
      </c>
      <c r="F75" s="92" t="s">
        <v>189</v>
      </c>
      <c r="G75" s="32"/>
      <c r="H75" s="30">
        <v>11.0</v>
      </c>
    </row>
    <row r="76" ht="15.75" customHeight="1">
      <c r="B76" s="24">
        <v>68.0</v>
      </c>
      <c r="C76" s="73" t="s">
        <v>162</v>
      </c>
      <c r="D76" s="37" t="s">
        <v>147</v>
      </c>
      <c r="E76" s="37" t="s">
        <v>163</v>
      </c>
      <c r="F76" s="92" t="s">
        <v>194</v>
      </c>
      <c r="G76" s="32"/>
      <c r="H76" s="30">
        <v>11.0</v>
      </c>
    </row>
    <row r="77" ht="15.75" customHeight="1">
      <c r="B77" s="24">
        <v>69.0</v>
      </c>
      <c r="C77" s="73" t="s">
        <v>162</v>
      </c>
      <c r="D77" s="37" t="s">
        <v>147</v>
      </c>
      <c r="E77" s="37" t="s">
        <v>163</v>
      </c>
      <c r="F77" s="92" t="s">
        <v>195</v>
      </c>
      <c r="G77" s="32"/>
      <c r="H77" s="30">
        <v>11.0</v>
      </c>
    </row>
    <row r="78" ht="15.75" customHeight="1">
      <c r="B78" s="24">
        <v>70.0</v>
      </c>
      <c r="C78" s="73" t="s">
        <v>162</v>
      </c>
      <c r="D78" s="37" t="s">
        <v>147</v>
      </c>
      <c r="E78" s="37" t="s">
        <v>163</v>
      </c>
      <c r="F78" s="92" t="s">
        <v>196</v>
      </c>
      <c r="G78" s="32"/>
      <c r="H78" s="30">
        <v>11.0</v>
      </c>
    </row>
    <row r="79" ht="15.75" customHeight="1">
      <c r="B79" s="10"/>
      <c r="C79" s="1"/>
      <c r="H79" s="10"/>
    </row>
    <row r="80" ht="15.75" customHeight="1">
      <c r="B80" s="10"/>
      <c r="C80" s="1"/>
      <c r="H80" s="10"/>
    </row>
    <row r="81" ht="15.75" customHeight="1">
      <c r="B81" s="10"/>
      <c r="C81" s="1"/>
      <c r="H81" s="10"/>
    </row>
    <row r="82" ht="15.75" customHeight="1">
      <c r="B82" s="10"/>
      <c r="C82" s="1"/>
      <c r="H82" s="10"/>
    </row>
    <row r="83" ht="15.75" customHeight="1">
      <c r="B83" s="10"/>
      <c r="C83" s="1"/>
      <c r="H83" s="10"/>
    </row>
    <row r="84" ht="15.75" customHeight="1">
      <c r="B84" s="10"/>
      <c r="C84" s="1"/>
      <c r="H84" s="10"/>
    </row>
    <row r="85" ht="15.75" customHeight="1">
      <c r="B85" s="10"/>
      <c r="C85" s="1"/>
      <c r="H85" s="10"/>
    </row>
    <row r="86" ht="15.75" customHeight="1">
      <c r="B86" s="10"/>
      <c r="C86" s="1"/>
      <c r="H86" s="10"/>
    </row>
    <row r="87" ht="15.75" customHeight="1">
      <c r="B87" s="10"/>
      <c r="C87" s="1"/>
      <c r="H87" s="10"/>
    </row>
    <row r="88" ht="15.75" customHeight="1">
      <c r="B88" s="10"/>
      <c r="C88" s="1"/>
      <c r="H88" s="10"/>
    </row>
    <row r="89" ht="15.75" customHeight="1">
      <c r="B89" s="10"/>
      <c r="C89" s="1"/>
      <c r="H89" s="10"/>
    </row>
    <row r="90" ht="15.75" customHeight="1">
      <c r="B90" s="10"/>
      <c r="C90" s="1"/>
      <c r="H90" s="10"/>
    </row>
    <row r="91" ht="15.75" customHeight="1">
      <c r="B91" s="10"/>
      <c r="C91" s="1"/>
      <c r="H91" s="10"/>
    </row>
    <row r="92" ht="15.75" customHeight="1">
      <c r="B92" s="10"/>
      <c r="C92" s="1"/>
    </row>
    <row r="93" ht="15.75" customHeight="1">
      <c r="B93" s="10"/>
      <c r="C93" s="1"/>
    </row>
    <row r="94" ht="15.75" customHeight="1">
      <c r="B94" s="10"/>
      <c r="C94" s="1"/>
    </row>
    <row r="95" ht="15.75" customHeight="1">
      <c r="B95" s="10"/>
      <c r="C95" s="1"/>
    </row>
    <row r="96" ht="15.75" customHeight="1">
      <c r="B96" s="10"/>
      <c r="C96" s="1"/>
    </row>
    <row r="97" ht="15.75" customHeight="1">
      <c r="B97" s="10"/>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sheetData>
  <mergeCells count="3">
    <mergeCell ref="B2:H2"/>
    <mergeCell ref="C4:H4"/>
    <mergeCell ref="C5:H5"/>
  </mergeCells>
  <dataValidations>
    <dataValidation type="list" allowBlank="1" showErrorMessage="1" sqref="C4">
      <formula1>Metadata!$A$2:$A$81</formula1>
    </dataValidation>
    <dataValidation type="list" allowBlank="1" showErrorMessage="1" sqref="C9:C97">
      <formula1>Metadata!$B$2:$B$12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 customWidth="1" min="8" max="8" width="2.88"/>
  </cols>
  <sheetData>
    <row r="1" ht="15.75" customHeight="1"/>
    <row r="2" ht="15.75" customHeight="1">
      <c r="B2" s="6" t="s">
        <v>2</v>
      </c>
    </row>
    <row r="3" ht="15.75" customHeight="1"/>
    <row r="4" ht="15.75" customHeight="1">
      <c r="B4" s="12" t="s">
        <v>1</v>
      </c>
      <c r="C4" s="23" t="str">
        <f>'Diseño'!C4</f>
        <v>667 - Programacion Comercial 1</v>
      </c>
      <c r="D4" s="25"/>
      <c r="E4" s="25"/>
      <c r="F4" s="25"/>
      <c r="G4" s="26"/>
    </row>
    <row r="5" ht="15.75" customHeight="1">
      <c r="B5" s="24" t="s">
        <v>23</v>
      </c>
      <c r="C5" s="23">
        <v>1.0</v>
      </c>
      <c r="D5" s="25"/>
      <c r="E5" s="25"/>
      <c r="F5" s="25"/>
      <c r="G5" s="26"/>
    </row>
    <row r="6" ht="15.75" customHeight="1">
      <c r="B6" s="24" t="s">
        <v>26</v>
      </c>
      <c r="C6" s="23">
        <f>B15+B22+B29+B41+B47+C48</f>
        <v>125</v>
      </c>
      <c r="D6" s="25"/>
      <c r="E6" s="25"/>
      <c r="F6" s="25"/>
      <c r="G6" s="26"/>
    </row>
    <row r="7" ht="15.75" customHeight="1"/>
    <row r="8" ht="15.75" customHeight="1">
      <c r="K8" s="39" t="s">
        <v>33</v>
      </c>
    </row>
    <row r="9" ht="15.75" customHeight="1">
      <c r="A9" s="41" t="s">
        <v>37</v>
      </c>
      <c r="G9" s="42" t="s">
        <v>40</v>
      </c>
      <c r="H9" s="47">
        <f>B15</f>
        <v>15</v>
      </c>
    </row>
    <row r="10" ht="15.75" customHeight="1">
      <c r="G10" s="49" t="s">
        <v>49</v>
      </c>
    </row>
    <row r="11" ht="24.75" customHeight="1">
      <c r="A11" s="50" t="s">
        <v>51</v>
      </c>
      <c r="B11" s="52" t="s">
        <v>55</v>
      </c>
      <c r="C11" s="25"/>
      <c r="D11" s="25"/>
      <c r="E11" s="25"/>
      <c r="F11" s="25"/>
      <c r="G11" s="25"/>
      <c r="H11" s="26"/>
    </row>
    <row r="12">
      <c r="A12" s="50" t="s">
        <v>60</v>
      </c>
      <c r="B12" s="52" t="s">
        <v>63</v>
      </c>
      <c r="C12" s="25"/>
      <c r="D12" s="25"/>
      <c r="E12" s="25"/>
      <c r="F12" s="25"/>
      <c r="G12" s="25"/>
      <c r="H12" s="26"/>
    </row>
    <row r="13">
      <c r="A13" s="55" t="s">
        <v>67</v>
      </c>
      <c r="B13" s="52" t="s">
        <v>70</v>
      </c>
      <c r="C13" s="25"/>
      <c r="D13" s="25"/>
      <c r="E13" s="25"/>
      <c r="F13" s="25"/>
      <c r="G13" s="25"/>
      <c r="H13" s="26"/>
    </row>
    <row r="14">
      <c r="A14" s="55" t="s">
        <v>72</v>
      </c>
      <c r="B14" s="52" t="s">
        <v>73</v>
      </c>
      <c r="C14" s="25"/>
      <c r="D14" s="25"/>
      <c r="E14" s="25"/>
      <c r="F14" s="25"/>
      <c r="G14" s="25"/>
      <c r="H14" s="26"/>
    </row>
    <row r="15" ht="15.75" customHeight="1">
      <c r="A15" s="59" t="s">
        <v>75</v>
      </c>
      <c r="B15" s="61">
        <v>15.0</v>
      </c>
      <c r="C15" s="25"/>
      <c r="D15" s="25"/>
      <c r="E15" s="25"/>
      <c r="F15" s="25"/>
      <c r="G15" s="25"/>
      <c r="H15" s="26"/>
    </row>
    <row r="16" ht="15.75" customHeight="1"/>
    <row r="17" ht="15.75" customHeight="1"/>
    <row r="18" ht="15.75" customHeight="1">
      <c r="A18" s="63" t="s">
        <v>81</v>
      </c>
      <c r="G18" s="42" t="s">
        <v>40</v>
      </c>
      <c r="H18" s="47">
        <f>B22</f>
        <v>45</v>
      </c>
    </row>
    <row r="19" ht="15.75" customHeight="1">
      <c r="G19" s="49" t="s">
        <v>86</v>
      </c>
      <c r="K19" s="39" t="s">
        <v>87</v>
      </c>
    </row>
    <row r="20">
      <c r="A20" s="50" t="s">
        <v>88</v>
      </c>
      <c r="B20" s="67" t="s">
        <v>90</v>
      </c>
      <c r="C20" s="25"/>
      <c r="D20" s="25"/>
      <c r="E20" s="25"/>
      <c r="F20" s="25"/>
      <c r="G20" s="25"/>
      <c r="H20" s="26"/>
    </row>
    <row r="21">
      <c r="A21" s="50" t="s">
        <v>93</v>
      </c>
      <c r="B21" s="67" t="s">
        <v>94</v>
      </c>
      <c r="C21" s="25"/>
      <c r="D21" s="25"/>
      <c r="E21" s="25"/>
      <c r="F21" s="25"/>
      <c r="G21" s="25"/>
      <c r="H21" s="26"/>
    </row>
    <row r="22">
      <c r="A22" s="59" t="s">
        <v>75</v>
      </c>
      <c r="B22" s="68">
        <v>45.0</v>
      </c>
      <c r="C22" s="25"/>
      <c r="D22" s="25"/>
      <c r="E22" s="25"/>
      <c r="F22" s="25"/>
      <c r="G22" s="25"/>
      <c r="H22" s="26"/>
    </row>
    <row r="23" ht="15.75" customHeight="1"/>
    <row r="24" ht="15.75" customHeight="1"/>
    <row r="25" ht="15.75" customHeight="1">
      <c r="A25" s="63" t="s">
        <v>99</v>
      </c>
      <c r="G25" s="70" t="s">
        <v>40</v>
      </c>
      <c r="H25" s="47">
        <f>B29</f>
        <v>30</v>
      </c>
    </row>
    <row r="26" ht="15.75" customHeight="1">
      <c r="G26" s="49" t="s">
        <v>102</v>
      </c>
      <c r="H26" s="49"/>
      <c r="I26" s="49"/>
      <c r="J26" s="49"/>
    </row>
    <row r="27" ht="39.75" customHeight="1">
      <c r="A27" s="50" t="s">
        <v>106</v>
      </c>
      <c r="B27" s="52" t="s">
        <v>108</v>
      </c>
      <c r="C27" s="25"/>
      <c r="D27" s="25"/>
      <c r="E27" s="25"/>
      <c r="F27" s="25"/>
      <c r="G27" s="25"/>
      <c r="H27" s="26"/>
      <c r="K27" s="39" t="s">
        <v>112</v>
      </c>
    </row>
    <row r="28" ht="69.75" customHeight="1">
      <c r="A28" s="50" t="s">
        <v>115</v>
      </c>
      <c r="B28" s="52" t="s">
        <v>116</v>
      </c>
      <c r="C28" s="25"/>
      <c r="D28" s="25"/>
      <c r="E28" s="25"/>
      <c r="F28" s="25"/>
      <c r="G28" s="25"/>
      <c r="H28" s="26"/>
    </row>
    <row r="29" ht="15.75" customHeight="1">
      <c r="A29" s="59" t="s">
        <v>75</v>
      </c>
      <c r="B29" s="68">
        <v>30.0</v>
      </c>
      <c r="C29" s="25"/>
      <c r="D29" s="25"/>
      <c r="E29" s="25"/>
      <c r="F29" s="25"/>
      <c r="G29" s="25"/>
      <c r="H29" s="26"/>
    </row>
    <row r="30" ht="15.75" customHeight="1"/>
    <row r="31" ht="15.75" customHeight="1"/>
    <row r="32" ht="15.75" customHeight="1">
      <c r="A32" s="63" t="s">
        <v>124</v>
      </c>
      <c r="G32" s="70" t="s">
        <v>40</v>
      </c>
      <c r="H32" s="47">
        <f>B36</f>
        <v>5</v>
      </c>
    </row>
    <row r="33" ht="15.75" customHeight="1">
      <c r="A33" s="14" t="s">
        <v>127</v>
      </c>
      <c r="G33" s="14" t="s">
        <v>129</v>
      </c>
    </row>
    <row r="34">
      <c r="A34" s="50" t="s">
        <v>130</v>
      </c>
      <c r="B34" s="83" t="s">
        <v>132</v>
      </c>
      <c r="C34" s="25"/>
      <c r="D34" s="25"/>
      <c r="E34" s="25"/>
      <c r="F34" s="25"/>
      <c r="G34" s="25"/>
      <c r="H34" s="26"/>
      <c r="K34" s="39" t="s">
        <v>152</v>
      </c>
    </row>
    <row r="35">
      <c r="A35" s="50" t="s">
        <v>156</v>
      </c>
      <c r="B35" s="52" t="s">
        <v>157</v>
      </c>
      <c r="C35" s="25"/>
      <c r="D35" s="25"/>
      <c r="E35" s="25"/>
      <c r="F35" s="25"/>
      <c r="G35" s="25"/>
      <c r="H35" s="26"/>
    </row>
    <row r="36" ht="15.75" customHeight="1">
      <c r="A36" s="59" t="s">
        <v>75</v>
      </c>
      <c r="B36" s="68">
        <v>5.0</v>
      </c>
      <c r="C36" s="25"/>
      <c r="D36" s="25"/>
      <c r="E36" s="25"/>
      <c r="F36" s="25"/>
      <c r="G36" s="25"/>
      <c r="H36" s="26"/>
    </row>
    <row r="37" ht="15.75" customHeight="1"/>
    <row r="38" ht="15.75" customHeight="1"/>
    <row r="39" ht="15.75" customHeight="1">
      <c r="A39" s="63" t="s">
        <v>160</v>
      </c>
      <c r="G39" s="70" t="s">
        <v>40</v>
      </c>
      <c r="H39" s="47">
        <f>B41</f>
        <v>20</v>
      </c>
    </row>
    <row r="40" ht="15.75" customHeight="1">
      <c r="G40" s="49" t="s">
        <v>165</v>
      </c>
    </row>
    <row r="41" ht="15.75" customHeight="1">
      <c r="A41" s="59" t="s">
        <v>75</v>
      </c>
      <c r="B41" s="61">
        <v>20.0</v>
      </c>
      <c r="C41" s="25"/>
      <c r="D41" s="25"/>
      <c r="E41" s="25"/>
      <c r="F41" s="25"/>
      <c r="G41" s="25"/>
      <c r="H41" s="26"/>
    </row>
    <row r="42" ht="15.75" customHeight="1"/>
    <row r="43" ht="15.75" customHeight="1"/>
    <row r="44" ht="15.75" customHeight="1">
      <c r="A44" s="63" t="s">
        <v>168</v>
      </c>
      <c r="G44" s="70" t="s">
        <v>40</v>
      </c>
      <c r="H44" s="47" t="str">
        <f>B46</f>
        <v>¿Qué es una base de datos?
R: Es un conjunto organizado de información que se almacena y se puede consultar fácilmente.
¿Qué significa el modelo entidad–relación (E–R)?
R: Es una forma gráfica de representar las entidades, atributos y relaciones de un sistema.
¿Qué diferencia hay entre una entidad y un atributo?
R: Una entidad es un objeto o concepto (ej. Alumno), mientras que un atributo es una característica de la entidad (ej. nombre, edad).
¿Qué es una clave primaria?
R: Es un campo que identifica de manera única cada registro en una tabla.
¿Para qué sirve una relación en un diagrama E–R?
R: Sirve para mostrar cómo se asocian dos o más entidades.
Da un ejemplo de una entidad y sus atributos en un sistema escolar.
R: Entidad: Alumno. Atributos: Carnet, Nombre, Edad, Dirección.
¿Qué es una tabla en una base de datos relacional?
R: Es una estructura que organiza datos en filas (registros) y columnas (campos).
¿Qué diferencia hay entre una clave primaria y una clave foránea?
R: La clave primaria identifica de forma única un registro; la clave foránea enlaza una tabla con otra.
¿Qué tipo de software es Access?
R: Es un sistema de gestión de bases de datos relacional de Microsoft.
¿Para qué sirve un formulario en Access?
R: Para facilitar la entrada y visualización de datos en una tabla.
¿Qué es una consulta en Access?
R: Es una instrucción que permite filtrar, ordenar o combinar datos de una o varias tablas.
¿Qué diferencia hay entre una tabla y un reporte en Access?
R: La tabla almacena los datos; el reporte sirve para presentarlos de manera organizada e imprimible.
¿Para qué sirve Power BI?
R: Para analizar datos y crear reportes y dashboards interactivos.
¿Qué es un dashboard en Power BI?
R: Es un panel con varias visualizaciones que muestran indicadores clave de un conjunto de datos.
¿Qué tipo de fuentes de datos se pueden conectar en Power BI?
R: Archivos (Excel, CSV), bases de datos (SQL Server, Oracle, MySQL), servicios en la nube (Google Analytics, Azure, etc.).
¿Qué diferencia hay entre una tabla de datos y una visualización en Power BI?
R: La tabla de datos muestra la información en crudo, la visualización la presenta de forma gráfica (gráficas, mapas, etc.).
¿Qué es un proyecto?
R: Es un esfuerzo temporal con un objetivo definido y recursos limitados.
¿Qué significa el alcance de un proyecto?
R: Define qué se incluye y qué no se incluye en el trabajo del proyecto.
¿Cuál es la importancia de un cronograma en la gestión de proyectos?
R: Permite planificar y controlar las fechas y tareas del proyecto.
Menciona una herramienta digital que se pueda usar para gestionar proyectos.
R: Ejemplos: Microsoft Project, Trello, Asana, Jira.</v>
      </c>
    </row>
    <row r="45" ht="15.75" customHeight="1">
      <c r="G45" s="49" t="s">
        <v>49</v>
      </c>
    </row>
    <row r="46">
      <c r="A46" s="50" t="s">
        <v>172</v>
      </c>
      <c r="B46" s="52" t="s">
        <v>175</v>
      </c>
      <c r="C46" s="25"/>
      <c r="D46" s="25"/>
      <c r="E46" s="25"/>
      <c r="F46" s="25"/>
      <c r="G46" s="25"/>
      <c r="H46" s="26"/>
    </row>
    <row r="47" ht="15.75" customHeight="1">
      <c r="A47" s="59" t="s">
        <v>75</v>
      </c>
      <c r="B47" s="68">
        <v>15.0</v>
      </c>
      <c r="C47" s="25"/>
      <c r="D47" s="25"/>
      <c r="E47" s="25"/>
      <c r="F47" s="25"/>
      <c r="G47" s="25"/>
      <c r="H47" s="26"/>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mergeCells count="37">
    <mergeCell ref="B11:H11"/>
    <mergeCell ref="B12:H12"/>
    <mergeCell ref="B13:H13"/>
    <mergeCell ref="B14:H14"/>
    <mergeCell ref="A1:A6"/>
    <mergeCell ref="C4:G4"/>
    <mergeCell ref="C5:G5"/>
    <mergeCell ref="C6:G6"/>
    <mergeCell ref="K8:N17"/>
    <mergeCell ref="A9:F9"/>
    <mergeCell ref="G10:I10"/>
    <mergeCell ref="B15:H15"/>
    <mergeCell ref="A18:F18"/>
    <mergeCell ref="G19:I19"/>
    <mergeCell ref="K19:N25"/>
    <mergeCell ref="B20:H20"/>
    <mergeCell ref="B21:H21"/>
    <mergeCell ref="B22:H22"/>
    <mergeCell ref="A25:F25"/>
    <mergeCell ref="B27:H27"/>
    <mergeCell ref="K27:N31"/>
    <mergeCell ref="B28:H28"/>
    <mergeCell ref="B29:H29"/>
    <mergeCell ref="A32:F32"/>
    <mergeCell ref="G33:M33"/>
    <mergeCell ref="B41:H41"/>
    <mergeCell ref="A44:F44"/>
    <mergeCell ref="G45:I45"/>
    <mergeCell ref="B46:H46"/>
    <mergeCell ref="B47:H47"/>
    <mergeCell ref="A33:F33"/>
    <mergeCell ref="B34:H34"/>
    <mergeCell ref="K34:N42"/>
    <mergeCell ref="B35:H35"/>
    <mergeCell ref="B36:H36"/>
    <mergeCell ref="A39:F39"/>
    <mergeCell ref="G40:I40"/>
  </mergeCells>
  <hyperlinks>
    <hyperlink r:id="rId2" ref="B34"/>
  </hyperlinks>
  <drawing r:id="rId3"/>
  <legacy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2.0</v>
      </c>
      <c r="D5" s="25"/>
      <c r="E5" s="25"/>
      <c r="F5" s="25"/>
      <c r="G5" s="26"/>
    </row>
    <row r="6" ht="15.75" customHeight="1">
      <c r="B6" s="95" t="s">
        <v>26</v>
      </c>
      <c r="C6" s="23">
        <f>H10+H21+H44+H68</f>
        <v>105</v>
      </c>
      <c r="D6" s="25"/>
      <c r="E6" s="25"/>
      <c r="F6" s="25"/>
      <c r="G6" s="26"/>
      <c r="I6" s="10"/>
    </row>
    <row r="7" ht="15.75" customHeight="1">
      <c r="B7" s="95" t="s">
        <v>217</v>
      </c>
      <c r="C7" s="23">
        <f>B49+B60</f>
        <v>0</v>
      </c>
      <c r="D7" s="25"/>
      <c r="E7" s="25"/>
      <c r="F7" s="25"/>
      <c r="G7" s="26"/>
    </row>
    <row r="8">
      <c r="B8" s="95" t="s">
        <v>218</v>
      </c>
      <c r="C8" s="102" t="str">
        <f>IF(H44&lt;=0, "❌ ERROR: La Actividad 1 debe tener un tiempo mayor a 0.", IF(H21&gt;60, "❌ ERROR: El 'Área de Conocimiento' no puede exceder los 60 min.", IF((H10+H21+H44)&lt;100,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5</v>
      </c>
    </row>
    <row r="11" ht="15.75" customHeight="1">
      <c r="G11" s="49" t="s">
        <v>220</v>
      </c>
    </row>
    <row r="12" ht="15.75" customHeight="1">
      <c r="A12" s="50" t="s">
        <v>221</v>
      </c>
      <c r="B12" s="52" t="s">
        <v>222</v>
      </c>
      <c r="C12" s="25"/>
      <c r="D12" s="25"/>
      <c r="E12" s="25"/>
      <c r="F12" s="25"/>
      <c r="G12" s="25"/>
      <c r="H12" s="26"/>
    </row>
    <row r="13" ht="15.75" customHeight="1">
      <c r="A13" s="105" t="s">
        <v>40</v>
      </c>
      <c r="B13" s="106">
        <v>5.0</v>
      </c>
      <c r="C13" s="25"/>
      <c r="D13" s="25"/>
      <c r="E13" s="25"/>
      <c r="F13" s="25"/>
      <c r="G13" s="25"/>
      <c r="H13" s="26"/>
    </row>
    <row r="14" ht="15.75" customHeight="1">
      <c r="A14" s="107" t="s">
        <v>223</v>
      </c>
      <c r="B14" s="25"/>
      <c r="C14" s="25"/>
      <c r="D14" s="25"/>
      <c r="E14" s="25"/>
      <c r="F14" s="25"/>
      <c r="G14" s="25"/>
      <c r="H14" s="26"/>
    </row>
    <row r="15" ht="15.75" customHeight="1">
      <c r="A15" s="108" t="s">
        <v>224</v>
      </c>
      <c r="B15" s="97"/>
      <c r="C15" s="97"/>
      <c r="D15" s="97"/>
      <c r="E15" s="97"/>
      <c r="F15" s="97"/>
      <c r="G15" s="97"/>
      <c r="H15" s="98"/>
    </row>
    <row r="16" ht="15.75" customHeight="1">
      <c r="A16" s="99"/>
      <c r="B16" s="100"/>
      <c r="C16" s="100"/>
      <c r="D16" s="100"/>
      <c r="E16" s="100"/>
      <c r="F16" s="100"/>
      <c r="G16" s="100"/>
      <c r="H16" s="101"/>
    </row>
    <row r="17" ht="15.75" customHeight="1">
      <c r="A17" s="107" t="s">
        <v>225</v>
      </c>
      <c r="B17" s="25"/>
      <c r="C17" s="25"/>
      <c r="D17" s="25"/>
      <c r="E17" s="25"/>
      <c r="F17" s="25"/>
      <c r="G17" s="25"/>
      <c r="H17" s="26"/>
    </row>
    <row r="18" ht="15.75" customHeight="1">
      <c r="A18" s="108" t="s">
        <v>226</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9">
        <f>SUM(D39:H42)</f>
        <v>60</v>
      </c>
      <c r="I21" s="10"/>
    </row>
    <row r="22" ht="15.75" customHeight="1">
      <c r="G22" s="49" t="s">
        <v>230</v>
      </c>
    </row>
    <row r="23" ht="15.75" customHeight="1">
      <c r="A23" s="55" t="s">
        <v>231</v>
      </c>
      <c r="B23" s="61" t="s">
        <v>24</v>
      </c>
      <c r="C23" s="25"/>
      <c r="D23" s="25"/>
      <c r="E23" s="25"/>
      <c r="F23" s="25"/>
      <c r="G23" s="25"/>
      <c r="H23" s="26"/>
    </row>
    <row r="24" ht="15.75" customHeight="1">
      <c r="A24" s="55" t="s">
        <v>231</v>
      </c>
      <c r="B24" s="61" t="s">
        <v>66</v>
      </c>
      <c r="C24" s="25"/>
      <c r="D24" s="25"/>
      <c r="E24" s="25"/>
      <c r="F24" s="25"/>
      <c r="G24" s="25"/>
      <c r="H24" s="26"/>
    </row>
    <row r="25" ht="15.75" customHeight="1"/>
    <row r="26" ht="15.75" customHeight="1">
      <c r="A26" s="113" t="s">
        <v>234</v>
      </c>
      <c r="B26" s="10"/>
      <c r="C26" s="10"/>
      <c r="D26" s="10"/>
    </row>
    <row r="27" ht="15.75" customHeight="1">
      <c r="A27" s="114" t="s">
        <v>15</v>
      </c>
      <c r="B27" s="115" t="s">
        <v>236</v>
      </c>
      <c r="C27" s="26"/>
      <c r="D27" s="115" t="s">
        <v>237</v>
      </c>
      <c r="E27" s="26"/>
      <c r="F27" s="115" t="s">
        <v>238</v>
      </c>
      <c r="G27" s="25"/>
      <c r="H27" s="26"/>
    </row>
    <row r="28" ht="15.75" customHeight="1">
      <c r="A28" s="80">
        <v>1.0</v>
      </c>
      <c r="B28" s="52" t="s">
        <v>240</v>
      </c>
      <c r="C28" s="26"/>
      <c r="D28" s="52" t="s">
        <v>241</v>
      </c>
      <c r="E28" s="26"/>
      <c r="F28" s="52" t="str">
        <f>IFERROR(__xludf.DUMMYFUNCTION("FILTER('Diseño'!F:F,'Diseño'!H:H=$C$5)"),"Introduccion a las bases de datos")</f>
        <v>Introduccion a las bases de datos</v>
      </c>
      <c r="G28" s="25"/>
      <c r="H28" s="26"/>
    </row>
    <row r="29" ht="15.75" customHeight="1">
      <c r="A29" s="80">
        <v>2.0</v>
      </c>
      <c r="B29" s="52" t="s">
        <v>240</v>
      </c>
      <c r="C29" s="26"/>
      <c r="D29" s="52" t="s">
        <v>241</v>
      </c>
      <c r="E29" s="26"/>
      <c r="F29" s="52" t="str">
        <f>IFERROR(__xludf.DUMMYFUNCTION("""COMPUTED_VALUE"""),"Conceptos Iniciales de las bases de datos")</f>
        <v>Conceptos Iniciales de las bases de datos</v>
      </c>
      <c r="G29" s="25"/>
      <c r="H29" s="26"/>
    </row>
    <row r="30" ht="15.75" customHeight="1">
      <c r="A30" s="80">
        <v>3.0</v>
      </c>
      <c r="B30" s="52" t="s">
        <v>240</v>
      </c>
      <c r="C30" s="26"/>
      <c r="D30" s="52" t="s">
        <v>241</v>
      </c>
      <c r="E30" s="26"/>
      <c r="F30" s="52" t="str">
        <f>IFERROR(__xludf.DUMMYFUNCTION("""COMPUTED_VALUE"""),"Qué es una base de datos, tabla, registro.")</f>
        <v>Qué es una base de datos, tabla, registro.</v>
      </c>
      <c r="G30" s="25"/>
      <c r="H30" s="26"/>
    </row>
    <row r="31" ht="15.75" customHeight="1">
      <c r="A31" s="80">
        <v>4.0</v>
      </c>
      <c r="B31" s="52" t="s">
        <v>240</v>
      </c>
      <c r="C31" s="26"/>
      <c r="D31" s="52" t="s">
        <v>241</v>
      </c>
      <c r="E31" s="26"/>
      <c r="F31" s="52" t="str">
        <f>IFERROR(__xludf.DUMMYFUNCTION("""COMPUTED_VALUE"""),"Tipos de bases de datos")</f>
        <v>Tipos de bases de datos</v>
      </c>
      <c r="G31" s="25"/>
      <c r="H31" s="26"/>
    </row>
    <row r="32" ht="15.75" customHeight="1">
      <c r="A32" s="80">
        <v>5.0</v>
      </c>
      <c r="B32" s="52" t="s">
        <v>240</v>
      </c>
      <c r="C32" s="26"/>
      <c r="D32" s="52" t="s">
        <v>241</v>
      </c>
      <c r="E32" s="26"/>
      <c r="F32" s="52" t="str">
        <f>IFERROR(__xludf.DUMMYFUNCTION("""COMPUTED_VALUE"""),"Gestores en las bases de datos")</f>
        <v>Gestores en las bases de datos</v>
      </c>
      <c r="G32" s="25"/>
      <c r="H32" s="26"/>
    </row>
    <row r="33" ht="15.75" customHeight="1">
      <c r="A33" s="80">
        <v>6.0</v>
      </c>
      <c r="B33" s="52" t="s">
        <v>240</v>
      </c>
      <c r="C33" s="26"/>
      <c r="D33" s="52" t="s">
        <v>241</v>
      </c>
      <c r="E33" s="26"/>
      <c r="F33" s="52" t="str">
        <f>IFERROR(__xludf.DUMMYFUNCTION("""COMPUTED_VALUE"""),"Conceptos Iniciales de las bases de datos")</f>
        <v>Conceptos Iniciales de las bases de datos</v>
      </c>
      <c r="G33" s="25"/>
      <c r="H33" s="26"/>
    </row>
    <row r="34" ht="15.75" customHeight="1">
      <c r="A34" s="80">
        <v>7.0</v>
      </c>
      <c r="B34" s="52" t="s">
        <v>240</v>
      </c>
      <c r="C34" s="26"/>
      <c r="D34" s="52" t="s">
        <v>241</v>
      </c>
      <c r="E34" s="26"/>
      <c r="F34" s="52" t="s">
        <v>243</v>
      </c>
      <c r="G34" s="25"/>
      <c r="H34" s="26"/>
    </row>
    <row r="35" ht="15.75" customHeight="1"/>
    <row r="36" ht="15.0" customHeight="1">
      <c r="A36" s="113" t="s">
        <v>244</v>
      </c>
    </row>
    <row r="37" ht="15.75" customHeight="1">
      <c r="A37" s="10"/>
      <c r="B37" s="10"/>
      <c r="C37" s="10"/>
      <c r="D37" s="10"/>
      <c r="E37" s="10"/>
      <c r="F37" s="10"/>
      <c r="G37" s="10"/>
      <c r="H37" s="10"/>
    </row>
    <row r="38">
      <c r="A38" s="114" t="s">
        <v>245</v>
      </c>
      <c r="B38" s="114" t="s">
        <v>118</v>
      </c>
      <c r="C38" s="118" t="s">
        <v>246</v>
      </c>
      <c r="D38" s="119" t="s">
        <v>40</v>
      </c>
      <c r="E38" s="25"/>
      <c r="F38" s="25"/>
      <c r="G38" s="25"/>
      <c r="H38" s="26"/>
      <c r="I38" s="120" t="s">
        <v>85</v>
      </c>
    </row>
    <row r="39" ht="15.75" customHeight="1">
      <c r="A39" s="28" t="s">
        <v>247</v>
      </c>
      <c r="B39" s="28" t="s">
        <v>248</v>
      </c>
      <c r="C39" s="28" t="s">
        <v>249</v>
      </c>
      <c r="D39" s="68">
        <v>10.0</v>
      </c>
      <c r="E39" s="25"/>
      <c r="F39" s="25"/>
      <c r="G39" s="25"/>
      <c r="H39" s="26"/>
      <c r="I39" s="24" t="str">
        <f t="shared" ref="I39:I42" si="1">IF(D39&lt;=C39,"Correcto", "Corregir")</f>
        <v>Correcto</v>
      </c>
    </row>
    <row r="40" ht="15.75" customHeight="1">
      <c r="A40" s="28" t="s">
        <v>251</v>
      </c>
      <c r="B40" s="28" t="s">
        <v>248</v>
      </c>
      <c r="C40" s="28" t="s">
        <v>249</v>
      </c>
      <c r="D40" s="68">
        <v>10.0</v>
      </c>
      <c r="E40" s="25"/>
      <c r="F40" s="25"/>
      <c r="G40" s="25"/>
      <c r="H40" s="26"/>
      <c r="I40" s="24" t="str">
        <f t="shared" si="1"/>
        <v>Correcto</v>
      </c>
    </row>
    <row r="41" ht="15.75" customHeight="1">
      <c r="A41" s="28" t="s">
        <v>252</v>
      </c>
      <c r="B41" s="28" t="s">
        <v>253</v>
      </c>
      <c r="C41" s="28" t="s">
        <v>254</v>
      </c>
      <c r="D41" s="106">
        <v>0.0</v>
      </c>
      <c r="E41" s="25"/>
      <c r="F41" s="25"/>
      <c r="G41" s="25"/>
      <c r="H41" s="26"/>
      <c r="I41" s="24" t="str">
        <f t="shared" si="1"/>
        <v>Correcto</v>
      </c>
    </row>
    <row r="42" ht="15.75" customHeight="1">
      <c r="A42" s="28" t="s">
        <v>257</v>
      </c>
      <c r="B42" s="28" t="s">
        <v>248</v>
      </c>
      <c r="C42" s="28" t="s">
        <v>258</v>
      </c>
      <c r="D42" s="106">
        <v>40.0</v>
      </c>
      <c r="E42" s="25"/>
      <c r="F42" s="25"/>
      <c r="G42" s="25"/>
      <c r="H42" s="26"/>
      <c r="I42" s="24" t="str">
        <f t="shared" si="1"/>
        <v>Correcto</v>
      </c>
    </row>
    <row r="43" ht="15.75" customHeight="1"/>
    <row r="44" ht="15.75" customHeight="1">
      <c r="A44" s="103" t="s">
        <v>259</v>
      </c>
      <c r="G44" s="70" t="s">
        <v>40</v>
      </c>
      <c r="H44" s="104">
        <f>B50</f>
        <v>35</v>
      </c>
    </row>
    <row r="45" ht="15.75" customHeight="1">
      <c r="G45" s="49" t="s">
        <v>262</v>
      </c>
    </row>
    <row r="46" ht="15.75" customHeight="1">
      <c r="A46" s="49" t="s">
        <v>264</v>
      </c>
    </row>
    <row r="47">
      <c r="A47" s="55" t="s">
        <v>266</v>
      </c>
      <c r="B47" s="61" t="s">
        <v>24</v>
      </c>
      <c r="C47" s="25"/>
      <c r="D47" s="25"/>
      <c r="E47" s="25"/>
      <c r="F47" s="25"/>
      <c r="G47" s="25"/>
      <c r="H47" s="26"/>
    </row>
    <row r="48" ht="15.75" customHeight="1">
      <c r="A48" s="55" t="s">
        <v>11</v>
      </c>
      <c r="B48" s="61" t="s">
        <v>271</v>
      </c>
      <c r="C48" s="25"/>
      <c r="D48" s="25"/>
      <c r="E48" s="25"/>
      <c r="F48" s="25"/>
      <c r="G48" s="25"/>
      <c r="H48" s="26"/>
    </row>
    <row r="49" ht="15.75" customHeight="1">
      <c r="A49" s="55" t="s">
        <v>217</v>
      </c>
      <c r="B49" s="124">
        <v>0.0</v>
      </c>
      <c r="C49" s="25"/>
      <c r="D49" s="25"/>
      <c r="E49" s="25"/>
      <c r="F49" s="25"/>
      <c r="G49" s="25"/>
      <c r="H49" s="26"/>
    </row>
    <row r="50" ht="15.75" customHeight="1">
      <c r="A50" s="55" t="s">
        <v>40</v>
      </c>
      <c r="B50" s="61">
        <v>35.0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26" t="s">
        <v>278</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61" t="s">
        <v>24</v>
      </c>
      <c r="C58" s="25"/>
      <c r="D58" s="25"/>
      <c r="E58" s="25"/>
      <c r="F58" s="25"/>
      <c r="G58" s="25"/>
      <c r="H58" s="26"/>
    </row>
    <row r="59" ht="15.75" customHeight="1">
      <c r="A59" s="55" t="s">
        <v>11</v>
      </c>
      <c r="B59" s="61" t="s">
        <v>280</v>
      </c>
      <c r="C59" s="25"/>
      <c r="D59" s="25"/>
      <c r="E59" s="25"/>
      <c r="F59" s="25"/>
      <c r="G59" s="25"/>
      <c r="H59" s="26"/>
    </row>
    <row r="60" ht="15.75" customHeight="1">
      <c r="A60" s="55" t="s">
        <v>217</v>
      </c>
      <c r="B60" s="129">
        <v>0.0</v>
      </c>
      <c r="C60" s="25"/>
      <c r="D60" s="25"/>
      <c r="E60" s="25"/>
      <c r="F60" s="25"/>
      <c r="G60" s="25"/>
      <c r="H60" s="26"/>
    </row>
    <row r="61" ht="15.75" customHeight="1">
      <c r="A61" s="55" t="s">
        <v>40</v>
      </c>
      <c r="B61" s="129">
        <v>0.0</v>
      </c>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26" t="s">
        <v>283</v>
      </c>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5</v>
      </c>
    </row>
    <row r="69" ht="15.75" customHeight="1">
      <c r="G69" s="49" t="s">
        <v>285</v>
      </c>
    </row>
    <row r="70" ht="15.75" customHeight="1">
      <c r="A70" s="55" t="s">
        <v>40</v>
      </c>
      <c r="B70" s="124">
        <v>5.0</v>
      </c>
      <c r="C70" s="25"/>
      <c r="D70" s="25"/>
      <c r="E70" s="25"/>
      <c r="F70" s="25"/>
      <c r="G70" s="25"/>
      <c r="H70" s="26"/>
    </row>
    <row r="71" ht="15.75" customHeight="1">
      <c r="A71" s="123" t="s">
        <v>286</v>
      </c>
      <c r="B71" s="25"/>
      <c r="C71" s="25"/>
      <c r="D71" s="25"/>
      <c r="E71" s="25"/>
      <c r="F71" s="25"/>
      <c r="G71" s="25"/>
      <c r="H71" s="26"/>
    </row>
    <row r="72" ht="15.75" customHeight="1">
      <c r="A72" s="126" t="s">
        <v>287</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3.0</v>
      </c>
      <c r="D5" s="25"/>
      <c r="E5" s="25"/>
      <c r="F5" s="25"/>
      <c r="G5" s="26"/>
    </row>
    <row r="6" ht="15.75" customHeight="1">
      <c r="B6" s="95" t="s">
        <v>26</v>
      </c>
      <c r="C6" s="23">
        <f>H10+H21+H44+H68</f>
        <v>114</v>
      </c>
      <c r="D6" s="25"/>
      <c r="E6" s="25"/>
      <c r="F6" s="25"/>
      <c r="G6" s="26"/>
      <c r="I6" s="10"/>
    </row>
    <row r="7" ht="15.75" customHeight="1">
      <c r="B7" s="95" t="s">
        <v>217</v>
      </c>
      <c r="C7" s="23">
        <f>B49+B60</f>
        <v>0</v>
      </c>
      <c r="D7" s="25"/>
      <c r="E7" s="25"/>
      <c r="F7" s="25"/>
      <c r="G7" s="26"/>
    </row>
    <row r="8" ht="15.75" customHeight="1">
      <c r="B8" s="95" t="s">
        <v>218</v>
      </c>
      <c r="C8" s="102" t="str">
        <f>IF(H44&lt;=0, "❌ ERROR: La Actividad 1 debe tener un tiempo mayor a 0.", IF(H21&gt;60, "❌ ERROR: El 'Área de Conocimiento' no puede exceder los 60 min.", IF((H10+H21+H44)&lt;100,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4</v>
      </c>
    </row>
    <row r="11" ht="15.75" customHeight="1">
      <c r="G11" s="49" t="s">
        <v>220</v>
      </c>
    </row>
    <row r="12" ht="15.75" customHeight="1">
      <c r="A12" s="50" t="s">
        <v>221</v>
      </c>
      <c r="B12" s="52" t="s">
        <v>228</v>
      </c>
      <c r="C12" s="25"/>
      <c r="D12" s="25"/>
      <c r="E12" s="25"/>
      <c r="F12" s="25"/>
      <c r="G12" s="25"/>
      <c r="H12" s="26"/>
    </row>
    <row r="13" ht="15.75" customHeight="1">
      <c r="A13" s="105" t="s">
        <v>40</v>
      </c>
      <c r="B13" s="68">
        <v>4.0</v>
      </c>
      <c r="C13" s="25"/>
      <c r="D13" s="25"/>
      <c r="E13" s="25"/>
      <c r="F13" s="25"/>
      <c r="G13" s="25"/>
      <c r="H13" s="26"/>
    </row>
    <row r="14" ht="15.75" customHeight="1">
      <c r="A14" s="107" t="s">
        <v>223</v>
      </c>
      <c r="B14" s="25"/>
      <c r="C14" s="25"/>
      <c r="D14" s="25"/>
      <c r="E14" s="25"/>
      <c r="F14" s="25"/>
      <c r="G14" s="25"/>
      <c r="H14" s="26"/>
    </row>
    <row r="15" ht="15.75" customHeight="1">
      <c r="A15" s="111" t="s">
        <v>232</v>
      </c>
      <c r="B15" s="97"/>
      <c r="C15" s="97"/>
      <c r="D15" s="97"/>
      <c r="E15" s="97"/>
      <c r="F15" s="97"/>
      <c r="G15" s="97"/>
      <c r="H15" s="98"/>
    </row>
    <row r="16" ht="15.75" customHeight="1">
      <c r="A16" s="99"/>
      <c r="B16" s="100"/>
      <c r="C16" s="100"/>
      <c r="D16" s="100"/>
      <c r="E16" s="100"/>
      <c r="F16" s="100"/>
      <c r="G16" s="100"/>
      <c r="H16" s="101"/>
    </row>
    <row r="17" ht="15.75" customHeight="1">
      <c r="A17" s="107" t="s">
        <v>225</v>
      </c>
      <c r="B17" s="25"/>
      <c r="C17" s="25"/>
      <c r="D17" s="25"/>
      <c r="E17" s="25"/>
      <c r="F17" s="25"/>
      <c r="G17" s="25"/>
      <c r="H17" s="26"/>
    </row>
    <row r="18" ht="27.0" customHeight="1">
      <c r="A18" s="111" t="s">
        <v>235</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9">
        <v>40.0</v>
      </c>
      <c r="I21" s="10"/>
    </row>
    <row r="22" ht="15.75" customHeight="1">
      <c r="G22" s="49" t="s">
        <v>230</v>
      </c>
    </row>
    <row r="23" ht="15.75" customHeight="1">
      <c r="A23" s="55" t="s">
        <v>231</v>
      </c>
      <c r="B23" s="61" t="s">
        <v>24</v>
      </c>
      <c r="C23" s="25"/>
      <c r="D23" s="25"/>
      <c r="E23" s="25"/>
      <c r="F23" s="25"/>
      <c r="G23" s="25"/>
      <c r="H23" s="26"/>
    </row>
    <row r="24" ht="15.75" customHeight="1">
      <c r="A24" s="55" t="s">
        <v>231</v>
      </c>
      <c r="B24" s="61" t="s">
        <v>242</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24">
        <v>1.0</v>
      </c>
      <c r="B28" s="23" t="str">
        <f>IFERROR(__xludf.DUMMYFUNCTION("FILTER('Diseño'!D:D,'Diseño'!H:H=$C$5)"),"1.  Base de datos ")</f>
        <v>1.  Base de datos </v>
      </c>
      <c r="C28" s="26"/>
      <c r="D28" s="23" t="str">
        <f>IFERROR(__xludf.DUMMYFUNCTION("FILTER('Diseño'!E:E,'Diseño'!H:H=$C$5)"),"¿Qué es SQL Server?")</f>
        <v>¿Qué es SQL Server?</v>
      </c>
      <c r="E28" s="26"/>
      <c r="F28" s="23" t="str">
        <f>IFERROR(__xludf.DUMMYFUNCTION("FILTER('Diseño'!F:F,'Diseño'!H:H=$C$5)"),"RDBMS, T-SQL, casos de uso, características clave")</f>
        <v>RDBMS, T-SQL, casos de uso, características clave</v>
      </c>
      <c r="G28" s="25"/>
      <c r="H28" s="26"/>
    </row>
    <row r="29" ht="15.75" customHeight="1">
      <c r="A29" s="24">
        <v>2.0</v>
      </c>
      <c r="B29" s="23" t="str">
        <f>IFERROR(__xludf.DUMMYFUNCTION("""COMPUTED_VALUE"""),"1.  Base de datos ")</f>
        <v>1.  Base de datos </v>
      </c>
      <c r="C29" s="26"/>
      <c r="D29" s="23" t="str">
        <f>IFERROR(__xludf.DUMMYFUNCTION("""COMPUTED_VALUE"""),"Instalación y conexión")</f>
        <v>Instalación y conexión</v>
      </c>
      <c r="E29" s="26"/>
      <c r="F29" s="23" t="str">
        <f>IFERROR(__xludf.DUMMYFUNCTION("""COMPUTED_VALUE"""),"Edición Developer, SSMS, modo de autenticación, conexión inicial")</f>
        <v>Edición Developer, SSMS, modo de autenticación, conexión inicial</v>
      </c>
      <c r="G29" s="25"/>
      <c r="H29" s="26"/>
    </row>
    <row r="30" ht="15.75" customHeight="1">
      <c r="A30" s="24">
        <v>3.0</v>
      </c>
      <c r="B30" s="23" t="str">
        <f>IFERROR(__xludf.DUMMYFUNCTION("""COMPUTED_VALUE"""),"1.  Base de datos ")</f>
        <v>1.  Base de datos </v>
      </c>
      <c r="C30" s="26"/>
      <c r="D30" s="23" t="str">
        <f>IFERROR(__xludf.DUMMYFUNCTION("""COMPUTED_VALUE"""),"Creación de la base de datos")</f>
        <v>Creación de la base de datos</v>
      </c>
      <c r="E30" s="26"/>
      <c r="F30" s="23" t="str">
        <f>IFERROR(__xludf.DUMMYFUNCTION("""COMPUTED_VALUE"""),"CREATE DATABASE y contexto USE")</f>
        <v>CREATE DATABASE y contexto USE</v>
      </c>
      <c r="G30" s="25"/>
      <c r="H30" s="26"/>
    </row>
    <row r="31" ht="15.75" customHeight="1">
      <c r="A31" s="24">
        <v>4.0</v>
      </c>
      <c r="B31" s="23" t="str">
        <f>IFERROR(__xludf.DUMMYFUNCTION("""COMPUTED_VALUE"""),"1.  Base de datos ")</f>
        <v>1.  Base de datos </v>
      </c>
      <c r="C31" s="26"/>
      <c r="D31" s="23" t="str">
        <f>IFERROR(__xludf.DUMMYFUNCTION("""COMPUTED_VALUE"""),"Tablas y tipos de datos")</f>
        <v>Tablas y tipos de datos</v>
      </c>
      <c r="E31" s="26"/>
      <c r="F31" s="23" t="str">
        <f>IFERROR(__xludf.DUMMYFUNCTION("""COMPUTED_VALUE"""),"INT, DECIMAL(p,s), NVARCHAR(n), DATE/DATETIME, BIT, PRIMARY KEY, IDENTITY, NOT NULL")</f>
        <v>INT, DECIMAL(p,s), NVARCHAR(n), DATE/DATETIME, BIT, PRIMARY KEY, IDENTITY, NOT NULL</v>
      </c>
      <c r="G31" s="25"/>
      <c r="H31" s="26"/>
    </row>
    <row r="32" ht="15.75" customHeight="1">
      <c r="A32" s="24">
        <v>5.0</v>
      </c>
      <c r="B32" s="23" t="str">
        <f>IFERROR(__xludf.DUMMYFUNCTION("""COMPUTED_VALUE"""),"1.  Base de datos ")</f>
        <v>1.  Base de datos </v>
      </c>
      <c r="C32" s="26"/>
      <c r="D32" s="23" t="str">
        <f>IFERROR(__xludf.DUMMYFUNCTION("""COMPUTED_VALUE"""),"Inserción de datos")</f>
        <v>Inserción de datos</v>
      </c>
      <c r="E32" s="26"/>
      <c r="F32" s="23" t="str">
        <f>IFERROR(__xludf.DUMMYFUNCTION("""COMPUTED_VALUE"""),"INSERT INTO ... VALUES (...) (múltiples filas)")</f>
        <v>INSERT INTO ... VALUES (...) (múltiples filas)</v>
      </c>
      <c r="G32" s="25"/>
      <c r="H32" s="26"/>
    </row>
    <row r="33" ht="15.75" customHeight="1">
      <c r="A33" s="24">
        <v>6.0</v>
      </c>
      <c r="B33" s="23" t="str">
        <f>IFERROR(__xludf.DUMMYFUNCTION("""COMPUTED_VALUE"""),"1.  Base de datos ")</f>
        <v>1.  Base de datos </v>
      </c>
      <c r="C33" s="26"/>
      <c r="D33" s="23" t="str">
        <f>IFERROR(__xludf.DUMMYFUNCTION("""COMPUTED_VALUE"""),"SELECT básico")</f>
        <v>SELECT básico</v>
      </c>
      <c r="E33" s="26"/>
      <c r="F33" s="23" t="str">
        <f>IFERROR(__xludf.DUMMYFUNCTION("""COMPUTED_VALUE"""),"SELECT *, proyección de columnas, WHERE, ORDER BY")</f>
        <v>SELECT *, proyección de columnas, WHERE, ORDER BY</v>
      </c>
      <c r="G33" s="25"/>
      <c r="H33" s="26"/>
    </row>
    <row r="34" ht="15.75" customHeight="1">
      <c r="A34" s="24">
        <v>7.0</v>
      </c>
      <c r="B34" s="23" t="str">
        <f>IFERROR(__xludf.DUMMYFUNCTION("""COMPUTED_VALUE"""),"1.  Base de datos ")</f>
        <v>1.  Base de datos </v>
      </c>
      <c r="C34" s="26"/>
      <c r="D34" s="23" t="str">
        <f>IFERROR(__xludf.DUMMYFUNCTION("""COMPUTED_VALUE"""),"Hoja de Trabajo 1")</f>
        <v>Hoja de Trabajo 1</v>
      </c>
      <c r="E34" s="26"/>
      <c r="F34" s="23" t="str">
        <f>IFERROR(__xludf.DUMMYFUNCTION("""COMPUTED_VALUE"""),"Ejercicio integrador: BD + tablas + inserts + consultas")</f>
        <v>Ejercicio integrador: BD + tablas + inserts + consultas</v>
      </c>
      <c r="G34" s="25"/>
      <c r="H34" s="26"/>
    </row>
    <row r="35" ht="15.75" customHeight="1"/>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106">
        <v>30.0</v>
      </c>
      <c r="E39" s="25"/>
      <c r="F39" s="25"/>
      <c r="G39" s="25"/>
      <c r="H39" s="26"/>
      <c r="I39" s="24" t="str">
        <f t="shared" ref="I39:I42" si="1">IF(D39&lt;=C39,"Correcto", "Corregir")</f>
        <v>Correcto</v>
      </c>
    </row>
    <row r="40" ht="15.75" customHeight="1">
      <c r="A40" s="24" t="s">
        <v>251</v>
      </c>
      <c r="B40" s="24" t="s">
        <v>248</v>
      </c>
      <c r="C40" s="24">
        <v>6.0</v>
      </c>
      <c r="D40" s="68">
        <v>5.0</v>
      </c>
      <c r="E40" s="25"/>
      <c r="F40" s="25"/>
      <c r="G40" s="25"/>
      <c r="H40" s="26"/>
      <c r="I40" s="24" t="str">
        <f t="shared" si="1"/>
        <v>Correcto</v>
      </c>
    </row>
    <row r="41" ht="15.75" customHeight="1">
      <c r="A41" s="24" t="s">
        <v>252</v>
      </c>
      <c r="B41" s="24" t="s">
        <v>253</v>
      </c>
      <c r="C41" s="24">
        <v>10.0</v>
      </c>
      <c r="D41" s="68">
        <v>0.0</v>
      </c>
      <c r="E41" s="25"/>
      <c r="F41" s="25"/>
      <c r="G41" s="25"/>
      <c r="H41" s="26"/>
      <c r="I41" s="24" t="str">
        <f t="shared" si="1"/>
        <v>Correcto</v>
      </c>
    </row>
    <row r="42" ht="15.75" customHeight="1">
      <c r="A42" s="24" t="s">
        <v>257</v>
      </c>
      <c r="B42" s="24" t="s">
        <v>248</v>
      </c>
      <c r="C42" s="24">
        <v>30.0</v>
      </c>
      <c r="D42" s="68">
        <v>15.0</v>
      </c>
      <c r="E42" s="25"/>
      <c r="F42" s="25"/>
      <c r="G42" s="25"/>
      <c r="H42" s="26"/>
      <c r="I42" s="24" t="str">
        <f t="shared" si="1"/>
        <v>Correcto</v>
      </c>
    </row>
    <row r="43" ht="15.75" customHeight="1"/>
    <row r="44" ht="15.75" customHeight="1">
      <c r="A44" s="103" t="s">
        <v>259</v>
      </c>
      <c r="G44" s="70" t="s">
        <v>40</v>
      </c>
      <c r="H44" s="104">
        <f>B50</f>
        <v>60</v>
      </c>
    </row>
    <row r="45" ht="15.75" customHeight="1">
      <c r="G45" s="49" t="s">
        <v>262</v>
      </c>
    </row>
    <row r="46" ht="15.75" customHeight="1">
      <c r="A46" s="49" t="s">
        <v>264</v>
      </c>
    </row>
    <row r="47">
      <c r="A47" s="55" t="s">
        <v>266</v>
      </c>
      <c r="B47" s="61" t="s">
        <v>66</v>
      </c>
      <c r="C47" s="25"/>
      <c r="D47" s="25"/>
      <c r="E47" s="25"/>
      <c r="F47" s="25"/>
      <c r="G47" s="25"/>
      <c r="H47" s="26"/>
    </row>
    <row r="48" ht="15.75" customHeight="1">
      <c r="A48" s="55" t="s">
        <v>11</v>
      </c>
      <c r="B48" s="61" t="s">
        <v>282</v>
      </c>
      <c r="C48" s="25"/>
      <c r="D48" s="25"/>
      <c r="E48" s="25"/>
      <c r="F48" s="25"/>
      <c r="G48" s="25"/>
      <c r="H48" s="26"/>
    </row>
    <row r="49" ht="15.75" customHeight="1">
      <c r="A49" s="55" t="s">
        <v>217</v>
      </c>
      <c r="B49" s="124">
        <v>0.0</v>
      </c>
      <c r="C49" s="25"/>
      <c r="D49" s="25"/>
      <c r="E49" s="25"/>
      <c r="F49" s="25"/>
      <c r="G49" s="25"/>
      <c r="H49" s="26"/>
    </row>
    <row r="50" ht="15.75" customHeight="1">
      <c r="A50" s="55" t="s">
        <v>40</v>
      </c>
      <c r="B50" s="61">
        <v>60.0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31" t="s">
        <v>288</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61" t="s">
        <v>66</v>
      </c>
      <c r="C58" s="25"/>
      <c r="D58" s="25"/>
      <c r="E58" s="25"/>
      <c r="F58" s="25"/>
      <c r="G58" s="25"/>
      <c r="H58" s="26"/>
    </row>
    <row r="59" ht="15.75" customHeight="1">
      <c r="A59" s="55" t="s">
        <v>11</v>
      </c>
      <c r="B59" s="61" t="s">
        <v>291</v>
      </c>
      <c r="C59" s="25"/>
      <c r="D59" s="25"/>
      <c r="E59" s="25"/>
      <c r="F59" s="25"/>
      <c r="G59" s="25"/>
      <c r="H59" s="26"/>
    </row>
    <row r="60" ht="15.75" customHeight="1">
      <c r="A60" s="55" t="s">
        <v>217</v>
      </c>
      <c r="B60" s="124">
        <v>0.0</v>
      </c>
      <c r="C60" s="25"/>
      <c r="D60" s="25"/>
      <c r="E60" s="25"/>
      <c r="F60" s="25"/>
      <c r="G60" s="25"/>
      <c r="H60" s="26"/>
    </row>
    <row r="61" ht="15.75" customHeight="1">
      <c r="A61" s="55" t="s">
        <v>40</v>
      </c>
      <c r="B61" s="124" t="s">
        <v>292</v>
      </c>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26" t="s">
        <v>294</v>
      </c>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10</v>
      </c>
    </row>
    <row r="69" ht="15.75" customHeight="1">
      <c r="G69" s="49" t="s">
        <v>285</v>
      </c>
    </row>
    <row r="70" ht="15.75" customHeight="1">
      <c r="A70" s="55" t="s">
        <v>40</v>
      </c>
      <c r="B70" s="124">
        <v>10.0</v>
      </c>
      <c r="C70" s="25"/>
      <c r="D70" s="25"/>
      <c r="E70" s="25"/>
      <c r="F70" s="25"/>
      <c r="G70" s="25"/>
      <c r="H70" s="26"/>
    </row>
    <row r="71" ht="15.75" customHeight="1">
      <c r="A71" s="123" t="s">
        <v>286</v>
      </c>
      <c r="B71" s="25"/>
      <c r="C71" s="25"/>
      <c r="D71" s="25"/>
      <c r="E71" s="25"/>
      <c r="F71" s="25"/>
      <c r="G71" s="25"/>
      <c r="H71" s="26"/>
    </row>
    <row r="72" ht="15.75" customHeight="1">
      <c r="A72" s="126" t="s">
        <v>295</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4.0</v>
      </c>
      <c r="D5" s="25"/>
      <c r="E5" s="25"/>
      <c r="F5" s="25"/>
      <c r="G5" s="26"/>
    </row>
    <row r="6" ht="15.75" customHeight="1">
      <c r="B6" s="95" t="s">
        <v>26</v>
      </c>
      <c r="C6" s="23">
        <f>H10+H21+H44+H68</f>
        <v>100</v>
      </c>
      <c r="D6" s="25"/>
      <c r="E6" s="25"/>
      <c r="F6" s="25"/>
      <c r="G6" s="26"/>
      <c r="I6" s="10"/>
    </row>
    <row r="7" ht="15.75" customHeight="1">
      <c r="B7" s="95" t="s">
        <v>217</v>
      </c>
      <c r="C7" s="23">
        <f>B49+B60</f>
        <v>8</v>
      </c>
      <c r="D7" s="25"/>
      <c r="E7" s="25"/>
      <c r="F7" s="25"/>
      <c r="G7" s="26"/>
    </row>
    <row r="8" ht="15.75" customHeight="1">
      <c r="B8" s="95"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5</v>
      </c>
    </row>
    <row r="11" ht="15.75" customHeight="1">
      <c r="G11" s="49" t="s">
        <v>220</v>
      </c>
    </row>
    <row r="12" ht="15.75" customHeight="1">
      <c r="A12" s="55" t="s">
        <v>221</v>
      </c>
      <c r="B12" s="61" t="s">
        <v>229</v>
      </c>
      <c r="C12" s="25"/>
      <c r="D12" s="25"/>
      <c r="E12" s="25"/>
      <c r="F12" s="25"/>
      <c r="G12" s="25"/>
      <c r="H12" s="26"/>
    </row>
    <row r="13" ht="15.75" customHeight="1">
      <c r="A13" s="59" t="s">
        <v>40</v>
      </c>
      <c r="B13" s="61">
        <v>5.0</v>
      </c>
      <c r="C13" s="25"/>
      <c r="D13" s="25"/>
      <c r="E13" s="25"/>
      <c r="F13" s="25"/>
      <c r="G13" s="25"/>
      <c r="H13" s="26"/>
    </row>
    <row r="14" ht="15.75" customHeight="1">
      <c r="A14" s="110" t="s">
        <v>223</v>
      </c>
      <c r="B14" s="25"/>
      <c r="C14" s="25"/>
      <c r="D14" s="25"/>
      <c r="E14" s="25"/>
      <c r="F14" s="25"/>
      <c r="G14" s="25"/>
      <c r="H14" s="26"/>
    </row>
    <row r="15" ht="15.75" customHeight="1">
      <c r="A15" s="112" t="s">
        <v>233</v>
      </c>
      <c r="B15" s="97"/>
      <c r="C15" s="97"/>
      <c r="D15" s="97"/>
      <c r="E15" s="97"/>
      <c r="F15" s="97"/>
      <c r="G15" s="97"/>
      <c r="H15" s="98"/>
    </row>
    <row r="16" ht="15.75" customHeight="1">
      <c r="A16" s="99"/>
      <c r="B16" s="100"/>
      <c r="C16" s="100"/>
      <c r="D16" s="100"/>
      <c r="E16" s="100"/>
      <c r="F16" s="100"/>
      <c r="G16" s="100"/>
      <c r="H16" s="101"/>
    </row>
    <row r="17" ht="15.75" customHeight="1">
      <c r="A17" s="110" t="s">
        <v>225</v>
      </c>
      <c r="B17" s="25"/>
      <c r="C17" s="25"/>
      <c r="D17" s="25"/>
      <c r="E17" s="25"/>
      <c r="F17" s="25"/>
      <c r="G17" s="25"/>
      <c r="H17" s="26"/>
    </row>
    <row r="18" ht="15.75" customHeight="1">
      <c r="A18" s="112" t="s">
        <v>239</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4">
        <f>SUM(D39:H42)</f>
        <v>50</v>
      </c>
      <c r="I21" s="10"/>
    </row>
    <row r="22" ht="15.75" customHeight="1">
      <c r="G22" s="49" t="s">
        <v>230</v>
      </c>
    </row>
    <row r="23" ht="15.75" customHeight="1">
      <c r="A23" s="55" t="s">
        <v>231</v>
      </c>
      <c r="B23" s="61" t="s">
        <v>24</v>
      </c>
      <c r="C23" s="25"/>
      <c r="D23" s="25"/>
      <c r="E23" s="25"/>
      <c r="F23" s="25"/>
      <c r="G23" s="25"/>
      <c r="H23" s="26"/>
    </row>
    <row r="24" ht="15.75" customHeight="1">
      <c r="A24" s="55" t="s">
        <v>231</v>
      </c>
      <c r="B24" s="61" t="s">
        <v>24</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80">
        <v>1.0</v>
      </c>
      <c r="B28" s="52" t="str">
        <f>IFERROR(__xludf.DUMMYFUNCTION("FILTER('Diseño'!D:D,'Diseño'!H:H=$C$5)"),"1.  Base de datos ")</f>
        <v>1.  Base de datos </v>
      </c>
      <c r="C28" s="26"/>
      <c r="D28" s="52" t="s">
        <v>27</v>
      </c>
      <c r="E28" s="26"/>
      <c r="F28" s="121" t="s">
        <v>250</v>
      </c>
      <c r="G28" s="100"/>
      <c r="H28" s="101"/>
    </row>
    <row r="29" ht="15.75" customHeight="1">
      <c r="A29" s="80">
        <v>2.0</v>
      </c>
      <c r="B29" s="52" t="str">
        <f>IFERROR(__xludf.DUMMYFUNCTION("""COMPUTED_VALUE"""),"1.  Base de datos ")</f>
        <v>1.  Base de datos </v>
      </c>
      <c r="C29" s="26"/>
      <c r="D29" s="28" t="s">
        <v>255</v>
      </c>
      <c r="E29" s="28"/>
      <c r="F29" s="121" t="s">
        <v>256</v>
      </c>
      <c r="G29" s="100"/>
      <c r="H29" s="101"/>
    </row>
    <row r="30" ht="15.75" customHeight="1">
      <c r="A30" s="80">
        <v>3.0</v>
      </c>
      <c r="B30" s="52" t="str">
        <f>IFERROR(__xludf.DUMMYFUNCTION("""COMPUTED_VALUE"""),"1.  Base de datos ")</f>
        <v>1.  Base de datos </v>
      </c>
      <c r="C30" s="26"/>
      <c r="D30" s="28" t="s">
        <v>260</v>
      </c>
      <c r="E30" s="28"/>
      <c r="F30" s="121" t="s">
        <v>261</v>
      </c>
      <c r="G30" s="100"/>
      <c r="H30" s="101"/>
    </row>
    <row r="31" ht="15.75" customHeight="1">
      <c r="A31" s="80">
        <v>4.0</v>
      </c>
      <c r="B31" s="52" t="str">
        <f>IFERROR(__xludf.DUMMYFUNCTION("""COMPUTED_VALUE"""),"1.  Base de datos ")</f>
        <v>1.  Base de datos </v>
      </c>
      <c r="C31" s="26"/>
      <c r="D31" s="52" t="s">
        <v>263</v>
      </c>
      <c r="E31" s="26"/>
      <c r="F31" s="121" t="s">
        <v>265</v>
      </c>
      <c r="G31" s="100"/>
      <c r="H31" s="101"/>
    </row>
    <row r="32" ht="15.75" customHeight="1">
      <c r="A32" s="80">
        <v>5.0</v>
      </c>
      <c r="B32" s="52" t="str">
        <f>IFERROR(__xludf.DUMMYFUNCTION("""COMPUTED_VALUE"""),"1.  Base de datos ")</f>
        <v>1.  Base de datos </v>
      </c>
      <c r="C32" s="26"/>
      <c r="D32" s="52" t="s">
        <v>267</v>
      </c>
      <c r="E32" s="26"/>
      <c r="F32" s="121" t="s">
        <v>269</v>
      </c>
      <c r="G32" s="100"/>
      <c r="H32" s="101"/>
    </row>
    <row r="33" ht="15.75" customHeight="1">
      <c r="A33" s="80">
        <v>6.0</v>
      </c>
      <c r="B33" s="52" t="str">
        <f>IFERROR(__xludf.DUMMYFUNCTION("""COMPUTED_VALUE"""),"1.  Base de datos ")</f>
        <v>1.  Base de datos </v>
      </c>
      <c r="C33" s="26"/>
      <c r="D33" s="28" t="s">
        <v>272</v>
      </c>
      <c r="E33" s="28"/>
      <c r="F33" s="121" t="s">
        <v>273</v>
      </c>
      <c r="G33" s="100"/>
      <c r="H33" s="101"/>
    </row>
    <row r="34" ht="15.75" customHeight="1">
      <c r="A34" s="80">
        <v>7.0</v>
      </c>
      <c r="B34" s="52" t="str">
        <f>IFERROR(__xludf.DUMMYFUNCTION("""COMPUTED_VALUE"""),"1.  Base de datos ")</f>
        <v>1.  Base de datos </v>
      </c>
      <c r="C34" s="26"/>
      <c r="D34" s="28" t="s">
        <v>274</v>
      </c>
      <c r="E34" s="28"/>
      <c r="F34" s="121" t="s">
        <v>275</v>
      </c>
      <c r="G34" s="100"/>
      <c r="H34" s="101"/>
    </row>
    <row r="35" ht="15.75" customHeight="1">
      <c r="B35" s="77" t="str">
        <f>IFERROR(__xludf.DUMMYFUNCTION("""COMPUTED_VALUE"""),"1.  Base de datos ")</f>
        <v>1.  Base de datos </v>
      </c>
    </row>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61">
        <v>30.0</v>
      </c>
      <c r="E39" s="25"/>
      <c r="F39" s="25"/>
      <c r="G39" s="25"/>
      <c r="H39" s="26"/>
      <c r="I39" s="24" t="str">
        <f t="shared" ref="I39:I42" si="1">IF(D39&lt;=C39,"Correcto", "Corregir")</f>
        <v>Correcto</v>
      </c>
    </row>
    <row r="40" ht="15.75" customHeight="1">
      <c r="A40" s="24" t="s">
        <v>251</v>
      </c>
      <c r="B40" s="24" t="s">
        <v>248</v>
      </c>
      <c r="C40" s="24">
        <v>6.0</v>
      </c>
      <c r="D40" s="61">
        <v>5.0</v>
      </c>
      <c r="E40" s="25"/>
      <c r="F40" s="25"/>
      <c r="G40" s="25"/>
      <c r="H40" s="26"/>
      <c r="I40" s="24" t="str">
        <f t="shared" si="1"/>
        <v>Correcto</v>
      </c>
    </row>
    <row r="41" ht="15.75" customHeight="1">
      <c r="A41" s="24" t="s">
        <v>252</v>
      </c>
      <c r="B41" s="24" t="s">
        <v>253</v>
      </c>
      <c r="C41" s="24">
        <v>10.0</v>
      </c>
      <c r="D41" s="61">
        <v>0.0</v>
      </c>
      <c r="E41" s="25"/>
      <c r="F41" s="25"/>
      <c r="G41" s="25"/>
      <c r="H41" s="26"/>
      <c r="I41" s="24" t="str">
        <f t="shared" si="1"/>
        <v>Correcto</v>
      </c>
    </row>
    <row r="42" ht="15.75" customHeight="1">
      <c r="A42" s="24" t="s">
        <v>257</v>
      </c>
      <c r="B42" s="24" t="s">
        <v>248</v>
      </c>
      <c r="C42" s="24">
        <v>30.0</v>
      </c>
      <c r="D42" s="61">
        <v>15.0</v>
      </c>
      <c r="E42" s="25"/>
      <c r="F42" s="25"/>
      <c r="G42" s="25"/>
      <c r="H42" s="26"/>
      <c r="I42" s="24" t="str">
        <f t="shared" si="1"/>
        <v>Correcto</v>
      </c>
    </row>
    <row r="43" ht="15.75" customHeight="1"/>
    <row r="44" ht="15.75" customHeight="1">
      <c r="A44" s="103" t="s">
        <v>259</v>
      </c>
      <c r="G44" s="70" t="s">
        <v>40</v>
      </c>
      <c r="H44" s="104">
        <f>B50</f>
        <v>30</v>
      </c>
    </row>
    <row r="45" ht="15.75" customHeight="1">
      <c r="G45" s="49" t="s">
        <v>262</v>
      </c>
    </row>
    <row r="46" ht="15.75" customHeight="1">
      <c r="A46" s="49" t="s">
        <v>264</v>
      </c>
    </row>
    <row r="47">
      <c r="A47" s="55" t="s">
        <v>266</v>
      </c>
      <c r="B47" s="61" t="s">
        <v>24</v>
      </c>
      <c r="C47" s="25"/>
      <c r="D47" s="25"/>
      <c r="E47" s="25"/>
      <c r="F47" s="25"/>
      <c r="G47" s="25"/>
      <c r="H47" s="26"/>
    </row>
    <row r="48" ht="15.75" customHeight="1">
      <c r="A48" s="55" t="s">
        <v>11</v>
      </c>
      <c r="B48" s="23" t="s">
        <v>289</v>
      </c>
      <c r="C48" s="25"/>
      <c r="D48" s="25"/>
      <c r="E48" s="25"/>
      <c r="F48" s="25"/>
      <c r="G48" s="25"/>
      <c r="H48" s="26"/>
    </row>
    <row r="49" ht="15.75" customHeight="1">
      <c r="A49" s="55" t="s">
        <v>217</v>
      </c>
      <c r="B49" s="124">
        <v>8.0</v>
      </c>
      <c r="C49" s="25"/>
      <c r="D49" s="25"/>
      <c r="E49" s="25"/>
      <c r="F49" s="25"/>
      <c r="G49" s="25"/>
      <c r="H49" s="26"/>
    </row>
    <row r="50" ht="15.75" customHeight="1">
      <c r="A50" s="55" t="s">
        <v>40</v>
      </c>
      <c r="B50" s="61">
        <v>30.0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26" t="s">
        <v>293</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61" t="s">
        <v>66</v>
      </c>
      <c r="C58" s="25"/>
      <c r="D58" s="25"/>
      <c r="E58" s="25"/>
      <c r="F58" s="25"/>
      <c r="G58" s="25"/>
      <c r="H58" s="26"/>
    </row>
    <row r="59" ht="15.75" customHeight="1">
      <c r="A59" s="55" t="s">
        <v>11</v>
      </c>
      <c r="B59" s="61" t="s">
        <v>291</v>
      </c>
      <c r="C59" s="25"/>
      <c r="D59" s="25"/>
      <c r="E59" s="25"/>
      <c r="F59" s="25"/>
      <c r="G59" s="25"/>
      <c r="H59" s="26"/>
    </row>
    <row r="60" ht="15.75" customHeight="1">
      <c r="A60" s="55" t="s">
        <v>217</v>
      </c>
      <c r="B60" s="124">
        <v>0.0</v>
      </c>
      <c r="C60" s="25"/>
      <c r="D60" s="25"/>
      <c r="E60" s="25"/>
      <c r="F60" s="25"/>
      <c r="G60" s="25"/>
      <c r="H60" s="26"/>
    </row>
    <row r="61" ht="15.75" customHeight="1">
      <c r="A61" s="55" t="s">
        <v>40</v>
      </c>
      <c r="B61" s="74">
        <v>10.0</v>
      </c>
      <c r="C61" s="132"/>
      <c r="D61" s="132"/>
      <c r="E61" s="132"/>
      <c r="F61" s="132"/>
      <c r="G61" s="132"/>
      <c r="H61" s="133"/>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26" t="s">
        <v>296</v>
      </c>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15</v>
      </c>
    </row>
    <row r="69" ht="15.75" customHeight="1">
      <c r="G69" s="49" t="s">
        <v>285</v>
      </c>
    </row>
    <row r="70" ht="15.75" customHeight="1">
      <c r="A70" s="55" t="s">
        <v>40</v>
      </c>
      <c r="B70" s="124">
        <v>15.0</v>
      </c>
      <c r="C70" s="25"/>
      <c r="D70" s="25"/>
      <c r="E70" s="25"/>
      <c r="F70" s="25"/>
      <c r="G70" s="25"/>
      <c r="H70" s="26"/>
    </row>
    <row r="71" ht="15.75" customHeight="1">
      <c r="A71" s="123" t="s">
        <v>286</v>
      </c>
      <c r="B71" s="25"/>
      <c r="C71" s="25"/>
      <c r="D71" s="25"/>
      <c r="E71" s="25"/>
      <c r="F71" s="25"/>
      <c r="G71" s="25"/>
      <c r="H71" s="26"/>
    </row>
    <row r="72" ht="15.75" customHeight="1">
      <c r="A72" s="126" t="s">
        <v>297</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6">
    <mergeCell ref="A44:F44"/>
    <mergeCell ref="B47:H47"/>
    <mergeCell ref="B48:H48"/>
    <mergeCell ref="B49:H49"/>
    <mergeCell ref="B50:H50"/>
    <mergeCell ref="A52:H52"/>
    <mergeCell ref="A53:H55"/>
    <mergeCell ref="A71:H71"/>
    <mergeCell ref="A72:H73"/>
    <mergeCell ref="B58:H58"/>
    <mergeCell ref="B59:H59"/>
    <mergeCell ref="B60:H60"/>
    <mergeCell ref="A63:H63"/>
    <mergeCell ref="A64:H66"/>
    <mergeCell ref="A68:F68"/>
    <mergeCell ref="B70:H70"/>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F28:H28"/>
    <mergeCell ref="F29:H29"/>
    <mergeCell ref="B24:H24"/>
    <mergeCell ref="B27:C27"/>
    <mergeCell ref="D27:E27"/>
    <mergeCell ref="F27:H27"/>
    <mergeCell ref="B28:C28"/>
    <mergeCell ref="D28:E28"/>
    <mergeCell ref="B29:C29"/>
    <mergeCell ref="B32:C32"/>
    <mergeCell ref="B33:C33"/>
    <mergeCell ref="B34:C34"/>
    <mergeCell ref="B30:C30"/>
    <mergeCell ref="F30:H30"/>
    <mergeCell ref="B31:C31"/>
    <mergeCell ref="D31:E31"/>
    <mergeCell ref="F31:H31"/>
    <mergeCell ref="D32:E32"/>
    <mergeCell ref="F32:H32"/>
    <mergeCell ref="F33:H33"/>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5.0</v>
      </c>
      <c r="D5" s="25"/>
      <c r="E5" s="25"/>
      <c r="F5" s="25"/>
      <c r="G5" s="26"/>
    </row>
    <row r="6" ht="15.75" customHeight="1">
      <c r="B6" s="95" t="s">
        <v>26</v>
      </c>
      <c r="C6" s="23">
        <f>H10+H21+H44+H68</f>
        <v>105</v>
      </c>
      <c r="D6" s="25"/>
      <c r="E6" s="25"/>
      <c r="F6" s="25"/>
      <c r="G6" s="26"/>
      <c r="I6" s="10"/>
    </row>
    <row r="7" ht="15.75" customHeight="1">
      <c r="B7" s="95" t="s">
        <v>217</v>
      </c>
      <c r="C7" s="23">
        <f>B49+B60</f>
        <v>2</v>
      </c>
      <c r="D7" s="25"/>
      <c r="E7" s="25"/>
      <c r="F7" s="25"/>
      <c r="G7" s="26"/>
    </row>
    <row r="8" ht="15.75" customHeight="1">
      <c r="B8" s="95"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5</v>
      </c>
    </row>
    <row r="11" ht="15.75" customHeight="1">
      <c r="G11" s="49" t="s">
        <v>220</v>
      </c>
    </row>
    <row r="12" ht="15.75" customHeight="1">
      <c r="A12" s="50" t="s">
        <v>221</v>
      </c>
      <c r="B12" s="52" t="s">
        <v>228</v>
      </c>
      <c r="C12" s="25"/>
      <c r="D12" s="25"/>
      <c r="E12" s="25"/>
      <c r="F12" s="25"/>
      <c r="G12" s="25"/>
      <c r="H12" s="26"/>
    </row>
    <row r="13" ht="15.75" customHeight="1">
      <c r="A13" s="105" t="s">
        <v>40</v>
      </c>
      <c r="B13" s="68">
        <v>5.0</v>
      </c>
      <c r="C13" s="25"/>
      <c r="D13" s="25"/>
      <c r="E13" s="25"/>
      <c r="F13" s="25"/>
      <c r="G13" s="25"/>
      <c r="H13" s="26"/>
    </row>
    <row r="14" ht="15.75" customHeight="1">
      <c r="A14" s="107" t="s">
        <v>223</v>
      </c>
      <c r="B14" s="25"/>
      <c r="C14" s="25"/>
      <c r="D14" s="25"/>
      <c r="E14" s="25"/>
      <c r="F14" s="25"/>
      <c r="G14" s="25"/>
      <c r="H14" s="26"/>
    </row>
    <row r="15" ht="15.75" customHeight="1">
      <c r="A15" s="131" t="s">
        <v>301</v>
      </c>
      <c r="B15" s="97"/>
      <c r="C15" s="97"/>
      <c r="D15" s="97"/>
      <c r="E15" s="97"/>
      <c r="F15" s="97"/>
      <c r="G15" s="97"/>
      <c r="H15" s="98"/>
    </row>
    <row r="16" ht="15.75" customHeight="1">
      <c r="A16" s="99"/>
      <c r="B16" s="100"/>
      <c r="C16" s="100"/>
      <c r="D16" s="100"/>
      <c r="E16" s="100"/>
      <c r="F16" s="100"/>
      <c r="G16" s="100"/>
      <c r="H16" s="101"/>
    </row>
    <row r="17" ht="15.75" customHeight="1">
      <c r="A17" s="107" t="s">
        <v>225</v>
      </c>
      <c r="B17" s="25"/>
      <c r="C17" s="25"/>
      <c r="D17" s="25"/>
      <c r="E17" s="25"/>
      <c r="F17" s="25"/>
      <c r="G17" s="25"/>
      <c r="H17" s="26"/>
    </row>
    <row r="18" ht="28.5" customHeight="1">
      <c r="A18" s="111" t="s">
        <v>303</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4">
        <f>SUM(D39:H42)</f>
        <v>60</v>
      </c>
      <c r="I21" s="10"/>
    </row>
    <row r="22" ht="15.75" customHeight="1">
      <c r="G22" s="49" t="s">
        <v>230</v>
      </c>
    </row>
    <row r="23" ht="15.75" customHeight="1">
      <c r="A23" s="55" t="s">
        <v>231</v>
      </c>
      <c r="B23" s="61" t="s">
        <v>24</v>
      </c>
      <c r="C23" s="25"/>
      <c r="D23" s="25"/>
      <c r="E23" s="25"/>
      <c r="F23" s="25"/>
      <c r="G23" s="25"/>
      <c r="H23" s="26"/>
    </row>
    <row r="24" ht="15.75" customHeight="1">
      <c r="A24" s="55" t="s">
        <v>231</v>
      </c>
      <c r="B24" s="61" t="s">
        <v>66</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24">
        <v>1.0</v>
      </c>
      <c r="B28" s="23" t="str">
        <f>IFERROR(__xludf.DUMMYFUNCTION("FILTER('Diseño'!D:D,'Diseño'!H:H=$C$5)"),"1.  Base de datos ")</f>
        <v>1.  Base de datos </v>
      </c>
      <c r="C28" s="26"/>
      <c r="D28" s="23" t="str">
        <f>IFERROR(__xludf.DUMMYFUNCTION("FILTER('Diseño'!E:E,'Diseño'!H:H=$C$5)"),"Tipos de datos y consultas basicas")</f>
        <v>Tipos de datos y consultas basicas</v>
      </c>
      <c r="E28" s="26"/>
      <c r="F28" s="23" t="str">
        <f>IFERROR(__xludf.DUMMYFUNCTION("FILTER('Diseño'!F:F,'Diseño'!H:H=$C$5)"),"INT/SMALLINT/BIGINT, DECIMAL vs MONEY, exactos vs aproximados")</f>
        <v>INT/SMALLINT/BIGINT, DECIMAL vs MONEY, exactos vs aproximados</v>
      </c>
      <c r="G28" s="25"/>
      <c r="H28" s="26"/>
    </row>
    <row r="29" ht="15.75" customHeight="1">
      <c r="A29" s="24">
        <v>2.0</v>
      </c>
      <c r="B29" s="23" t="str">
        <f>IFERROR(__xludf.DUMMYFUNCTION("""COMPUTED_VALUE"""),"1.  Base de datos ")</f>
        <v>1.  Base de datos </v>
      </c>
      <c r="C29" s="26"/>
      <c r="D29" s="23" t="str">
        <f>IFERROR(__xludf.DUMMYFUNCTION("""COMPUTED_VALUE"""),"Tipos de datos y consultas basicas")</f>
        <v>Tipos de datos y consultas basicas</v>
      </c>
      <c r="E29" s="26"/>
      <c r="F29" s="23" t="str">
        <f>IFERROR(__xludf.DUMMYFUNCTION("""COMPUTED_VALUE"""),"Precisión, usos y defaults (SYSDATETIME/SYSUTCDATETIME)")</f>
        <v>Precisión, usos y defaults (SYSDATETIME/SYSUTCDATETIME)</v>
      </c>
      <c r="G29" s="25"/>
      <c r="H29" s="26"/>
    </row>
    <row r="30" ht="15.75" customHeight="1">
      <c r="A30" s="24">
        <v>3.0</v>
      </c>
      <c r="B30" s="23" t="str">
        <f>IFERROR(__xludf.DUMMYFUNCTION("""COMPUTED_VALUE"""),"1.  Base de datos ")</f>
        <v>1.  Base de datos </v>
      </c>
      <c r="C30" s="26"/>
      <c r="D30" s="23" t="str">
        <f>IFERROR(__xludf.DUMMYFUNCTION("""COMPUTED_VALUE"""),"Tipos de datos y consultas basicas")</f>
        <v>Tipos de datos y consultas basicas</v>
      </c>
      <c r="E30" s="26"/>
      <c r="F30" s="23" t="str">
        <f>IFERROR(__xludf.DUMMYFUNCTION("""COMPUTED_VALUE"""),"Unicode, collation, longitud fija vs variable")</f>
        <v>Unicode, collation, longitud fija vs variable</v>
      </c>
      <c r="G30" s="25"/>
      <c r="H30" s="26"/>
    </row>
    <row r="31" ht="15.75" customHeight="1">
      <c r="A31" s="24">
        <v>4.0</v>
      </c>
      <c r="B31" s="23" t="str">
        <f>IFERROR(__xludf.DUMMYFUNCTION("""COMPUTED_VALUE"""),"1.  Base de datos ")</f>
        <v>1.  Base de datos </v>
      </c>
      <c r="C31" s="26"/>
      <c r="D31" s="23" t="str">
        <f>IFERROR(__xludf.DUMMYFUNCTION("""COMPUTED_VALUE"""),"Tipos de datos y consultas basicas")</f>
        <v>Tipos de datos y consultas basicas</v>
      </c>
      <c r="E31" s="26"/>
      <c r="F31" s="23" t="str">
        <f>IFERROR(__xludf.DUMMYFUNCTION("""COMPUTED_VALUE"""),"Elección en OLTP, impacto en índices")</f>
        <v>Elección en OLTP, impacto en índices</v>
      </c>
      <c r="G31" s="25"/>
      <c r="H31" s="26"/>
    </row>
    <row r="32" ht="15.75" customHeight="1">
      <c r="A32" s="24">
        <v>5.0</v>
      </c>
      <c r="B32" s="23" t="str">
        <f>IFERROR(__xludf.DUMMYFUNCTION("""COMPUTED_VALUE"""),"1.  Base de datos ")</f>
        <v>1.  Base de datos </v>
      </c>
      <c r="C32" s="26"/>
      <c r="D32" s="23" t="str">
        <f>IFERROR(__xludf.DUMMYFUNCTION("""COMPUTED_VALUE"""),"Tipos de datos y consultas basicas")</f>
        <v>Tipos de datos y consultas basicas</v>
      </c>
      <c r="E32" s="26"/>
      <c r="F32" s="23" t="str">
        <f>IFERROR(__xludf.DUMMYFUNCTION("""COMPUTED_VALUE"""),"Cuándo usar cada una; costos y estadísticas")</f>
        <v>Cuándo usar cada una; costos y estadísticas</v>
      </c>
      <c r="G32" s="25"/>
      <c r="H32" s="26"/>
    </row>
    <row r="33" ht="15.75" customHeight="1">
      <c r="A33" s="24">
        <v>6.0</v>
      </c>
      <c r="B33" s="23" t="str">
        <f>IFERROR(__xludf.DUMMYFUNCTION("""COMPUTED_VALUE"""),"1.  Base de datos ")</f>
        <v>1.  Base de datos </v>
      </c>
      <c r="C33" s="26"/>
      <c r="D33" s="23" t="str">
        <f>IFERROR(__xludf.DUMMYFUNCTION("""COMPUTED_VALUE"""),"Tipos de datos y consultas basicas")</f>
        <v>Tipos de datos y consultas basicas</v>
      </c>
      <c r="E33" s="26"/>
      <c r="F33" s="23" t="str">
        <f>IFERROR(__xludf.DUMMYFUNCTION("""COMPUTED_VALUE"""),"Plantilla, reglas ON vs WHERE, filtros por fecha")</f>
        <v>Plantilla, reglas ON vs WHERE, filtros por fecha</v>
      </c>
      <c r="G33" s="25"/>
      <c r="H33" s="26"/>
    </row>
    <row r="34" ht="15.75" customHeight="1">
      <c r="A34" s="24">
        <v>7.0</v>
      </c>
      <c r="B34" s="23" t="str">
        <f>IFERROR(__xludf.DUMMYFUNCTION("""COMPUTED_VALUE"""),"1.  Base de datos ")</f>
        <v>1.  Base de datos </v>
      </c>
      <c r="C34" s="26"/>
      <c r="D34" s="23" t="str">
        <f>IFERROR(__xludf.DUMMYFUNCTION("""COMPUTED_VALUE"""),"Tipos de datos y consultas basicas")</f>
        <v>Tipos de datos y consultas basicas</v>
      </c>
      <c r="E34" s="26"/>
      <c r="F34" s="23" t="str">
        <f>IFERROR(__xludf.DUMMYFUNCTION("""COMPUTED_VALUE"""),"Ventanas (ROW_NUMBER, SUM OVER), SCOPE_IDENTITY(), TRY/CATCH + TRAN")</f>
        <v>Ventanas (ROW_NUMBER, SUM OVER), SCOPE_IDENTITY(), TRY/CATCH + TRAN</v>
      </c>
      <c r="G34" s="25"/>
      <c r="H34" s="26"/>
    </row>
    <row r="35" ht="15.75" customHeight="1"/>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106">
        <v>30.0</v>
      </c>
      <c r="E39" s="25"/>
      <c r="F39" s="25"/>
      <c r="G39" s="25"/>
      <c r="H39" s="26"/>
      <c r="I39" s="24" t="str">
        <f t="shared" ref="I39:I42" si="1">IF(D39&lt;=C39,"Correcto", "Corregir")</f>
        <v>Correcto</v>
      </c>
    </row>
    <row r="40" ht="15.75" customHeight="1">
      <c r="A40" s="24" t="s">
        <v>251</v>
      </c>
      <c r="B40" s="24" t="s">
        <v>248</v>
      </c>
      <c r="C40" s="24">
        <v>6.0</v>
      </c>
      <c r="D40" s="68">
        <v>5.0</v>
      </c>
      <c r="E40" s="25"/>
      <c r="F40" s="25"/>
      <c r="G40" s="25"/>
      <c r="H40" s="26"/>
      <c r="I40" s="24" t="str">
        <f t="shared" si="1"/>
        <v>Correcto</v>
      </c>
    </row>
    <row r="41" ht="15.75" customHeight="1">
      <c r="A41" s="24" t="s">
        <v>252</v>
      </c>
      <c r="B41" s="24" t="s">
        <v>253</v>
      </c>
      <c r="C41" s="24">
        <v>10.0</v>
      </c>
      <c r="D41" s="68">
        <v>0.0</v>
      </c>
      <c r="E41" s="25"/>
      <c r="F41" s="25"/>
      <c r="G41" s="25"/>
      <c r="H41" s="26"/>
      <c r="I41" s="24" t="str">
        <f t="shared" si="1"/>
        <v>Correcto</v>
      </c>
    </row>
    <row r="42" ht="15.75" customHeight="1">
      <c r="A42" s="24" t="s">
        <v>257</v>
      </c>
      <c r="B42" s="24" t="s">
        <v>248</v>
      </c>
      <c r="C42" s="24">
        <v>30.0</v>
      </c>
      <c r="D42" s="106">
        <v>25.0</v>
      </c>
      <c r="E42" s="25"/>
      <c r="F42" s="25"/>
      <c r="G42" s="25"/>
      <c r="H42" s="26"/>
      <c r="I42" s="24" t="str">
        <f t="shared" si="1"/>
        <v>Correcto</v>
      </c>
    </row>
    <row r="43" ht="15.75" customHeight="1"/>
    <row r="44" ht="15.75" customHeight="1">
      <c r="A44" s="103" t="s">
        <v>259</v>
      </c>
      <c r="G44" s="70" t="s">
        <v>40</v>
      </c>
      <c r="H44" s="104">
        <f>B50</f>
        <v>30</v>
      </c>
    </row>
    <row r="45" ht="15.75" customHeight="1">
      <c r="G45" s="49" t="s">
        <v>262</v>
      </c>
    </row>
    <row r="46" ht="15.75" customHeight="1">
      <c r="A46" s="49" t="s">
        <v>264</v>
      </c>
    </row>
    <row r="47">
      <c r="A47" s="55" t="s">
        <v>266</v>
      </c>
      <c r="B47" s="61" t="s">
        <v>66</v>
      </c>
      <c r="C47" s="25"/>
      <c r="D47" s="25"/>
      <c r="E47" s="25"/>
      <c r="F47" s="25"/>
      <c r="G47" s="25"/>
      <c r="H47" s="26"/>
    </row>
    <row r="48" ht="15.75" customHeight="1">
      <c r="A48" s="55" t="s">
        <v>11</v>
      </c>
      <c r="B48" s="61" t="s">
        <v>289</v>
      </c>
      <c r="C48" s="25"/>
      <c r="D48" s="25"/>
      <c r="E48" s="25"/>
      <c r="F48" s="25"/>
      <c r="G48" s="25"/>
      <c r="H48" s="26"/>
    </row>
    <row r="49" ht="15.75" customHeight="1">
      <c r="A49" s="55" t="s">
        <v>217</v>
      </c>
      <c r="B49" s="124">
        <v>2.0</v>
      </c>
      <c r="C49" s="25"/>
      <c r="D49" s="25"/>
      <c r="E49" s="25"/>
      <c r="F49" s="25"/>
      <c r="G49" s="25"/>
      <c r="H49" s="26"/>
    </row>
    <row r="50" ht="15.75" customHeight="1">
      <c r="A50" s="55" t="s">
        <v>40</v>
      </c>
      <c r="B50" s="61">
        <v>30.0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26" t="s">
        <v>311</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23"/>
      <c r="C58" s="25"/>
      <c r="D58" s="25"/>
      <c r="E58" s="25"/>
      <c r="F58" s="25"/>
      <c r="G58" s="25"/>
      <c r="H58" s="26"/>
    </row>
    <row r="59" ht="15.75" customHeight="1">
      <c r="A59" s="55" t="s">
        <v>11</v>
      </c>
      <c r="B59" s="23"/>
      <c r="C59" s="25"/>
      <c r="D59" s="25"/>
      <c r="E59" s="25"/>
      <c r="F59" s="25"/>
      <c r="G59" s="25"/>
      <c r="H59" s="26"/>
    </row>
    <row r="60" ht="15.75" customHeight="1">
      <c r="A60" s="55" t="s">
        <v>217</v>
      </c>
      <c r="B60" s="124"/>
      <c r="C60" s="25"/>
      <c r="D60" s="25"/>
      <c r="E60" s="25"/>
      <c r="F60" s="25"/>
      <c r="G60" s="25"/>
      <c r="H60" s="26"/>
    </row>
    <row r="61" ht="15.75" customHeight="1">
      <c r="A61" s="55" t="s">
        <v>40</v>
      </c>
      <c r="B61" s="124"/>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31"/>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10</v>
      </c>
    </row>
    <row r="69" ht="15.75" customHeight="1">
      <c r="G69" s="49" t="s">
        <v>285</v>
      </c>
    </row>
    <row r="70" ht="15.75" customHeight="1">
      <c r="A70" s="55" t="s">
        <v>40</v>
      </c>
      <c r="B70" s="124">
        <v>10.0</v>
      </c>
      <c r="C70" s="25"/>
      <c r="D70" s="25"/>
      <c r="E70" s="25"/>
      <c r="F70" s="25"/>
      <c r="G70" s="25"/>
      <c r="H70" s="26"/>
    </row>
    <row r="71" ht="15.75" customHeight="1">
      <c r="A71" s="123" t="s">
        <v>286</v>
      </c>
      <c r="B71" s="25"/>
      <c r="C71" s="25"/>
      <c r="D71" s="25"/>
      <c r="E71" s="25"/>
      <c r="F71" s="25"/>
      <c r="G71" s="25"/>
      <c r="H71" s="26"/>
    </row>
    <row r="72" ht="15.75" customHeight="1">
      <c r="A72" s="126" t="s">
        <v>317</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6.0</v>
      </c>
      <c r="D5" s="25"/>
      <c r="E5" s="25"/>
      <c r="F5" s="25"/>
      <c r="G5" s="26"/>
    </row>
    <row r="6" ht="15.75" customHeight="1">
      <c r="B6" s="95" t="s">
        <v>26</v>
      </c>
      <c r="C6" s="23">
        <f>H10+H21+H44+H68</f>
        <v>100</v>
      </c>
      <c r="D6" s="25"/>
      <c r="E6" s="25"/>
      <c r="F6" s="25"/>
      <c r="G6" s="26"/>
      <c r="I6" s="10"/>
    </row>
    <row r="7" ht="15.75" customHeight="1">
      <c r="B7" s="95" t="s">
        <v>217</v>
      </c>
      <c r="C7" s="23">
        <f>B49+B60</f>
        <v>0</v>
      </c>
      <c r="D7" s="25"/>
      <c r="E7" s="25"/>
      <c r="F7" s="25"/>
      <c r="G7" s="26"/>
    </row>
    <row r="8" ht="15.75" customHeight="1">
      <c r="B8" s="95"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5</v>
      </c>
    </row>
    <row r="11" ht="15.75" customHeight="1">
      <c r="G11" s="49" t="s">
        <v>220</v>
      </c>
    </row>
    <row r="12" ht="15.75" customHeight="1">
      <c r="A12" s="55" t="s">
        <v>221</v>
      </c>
      <c r="B12" s="61" t="s">
        <v>229</v>
      </c>
      <c r="C12" s="25"/>
      <c r="D12" s="25"/>
      <c r="E12" s="25"/>
      <c r="F12" s="25"/>
      <c r="G12" s="25"/>
      <c r="H12" s="26"/>
    </row>
    <row r="13" ht="15.75" customHeight="1">
      <c r="A13" s="59" t="s">
        <v>40</v>
      </c>
      <c r="B13" s="61">
        <v>5.0</v>
      </c>
      <c r="C13" s="25"/>
      <c r="D13" s="25"/>
      <c r="E13" s="25"/>
      <c r="F13" s="25"/>
      <c r="G13" s="25"/>
      <c r="H13" s="26"/>
    </row>
    <row r="14" ht="15.75" customHeight="1">
      <c r="A14" s="110" t="s">
        <v>223</v>
      </c>
      <c r="B14" s="25"/>
      <c r="C14" s="25"/>
      <c r="D14" s="25"/>
      <c r="E14" s="25"/>
      <c r="F14" s="25"/>
      <c r="G14" s="25"/>
      <c r="H14" s="26"/>
    </row>
    <row r="15" ht="15.75" customHeight="1">
      <c r="A15" s="96" t="s">
        <v>298</v>
      </c>
      <c r="B15" s="97"/>
      <c r="C15" s="97"/>
      <c r="D15" s="97"/>
      <c r="E15" s="97"/>
      <c r="F15" s="97"/>
      <c r="G15" s="97"/>
      <c r="H15" s="98"/>
    </row>
    <row r="16" ht="15.75" customHeight="1">
      <c r="A16" s="99"/>
      <c r="B16" s="100"/>
      <c r="C16" s="100"/>
      <c r="D16" s="100"/>
      <c r="E16" s="100"/>
      <c r="F16" s="100"/>
      <c r="G16" s="100"/>
      <c r="H16" s="101"/>
    </row>
    <row r="17" ht="15.75" customHeight="1">
      <c r="A17" s="110" t="s">
        <v>225</v>
      </c>
      <c r="B17" s="25"/>
      <c r="C17" s="25"/>
      <c r="D17" s="25"/>
      <c r="E17" s="25"/>
      <c r="F17" s="25"/>
      <c r="G17" s="25"/>
      <c r="H17" s="26"/>
    </row>
    <row r="18" ht="15.75" customHeight="1">
      <c r="A18" s="112" t="s">
        <v>299</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4">
        <f>SUM(D39:H42)</f>
        <v>55</v>
      </c>
      <c r="I21" s="10"/>
    </row>
    <row r="22" ht="15.75" customHeight="1">
      <c r="G22" s="49" t="s">
        <v>230</v>
      </c>
    </row>
    <row r="23" ht="15.75" customHeight="1">
      <c r="A23" s="55" t="s">
        <v>231</v>
      </c>
      <c r="B23" s="61" t="s">
        <v>300</v>
      </c>
      <c r="C23" s="25"/>
      <c r="D23" s="25"/>
      <c r="E23" s="25"/>
      <c r="F23" s="25"/>
      <c r="G23" s="25"/>
      <c r="H23" s="26"/>
    </row>
    <row r="24" ht="15.75" customHeight="1">
      <c r="A24" s="55" t="s">
        <v>231</v>
      </c>
      <c r="B24" s="61" t="s">
        <v>302</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24">
        <v>1.0</v>
      </c>
      <c r="B28" s="23" t="str">
        <f>IFERROR(__xludf.DUMMYFUNCTION("FILTER('Diseño'!D:D,'Diseño'!H:H=$C$5)"),"2. Microsoft Project")</f>
        <v>2. Microsoft Project</v>
      </c>
      <c r="C28" s="26"/>
      <c r="D28" s="23" t="str">
        <f>IFERROR(__xludf.DUMMYFUNCTION("FILTER('Diseño'!E:E,'Diseño'!H:H=$C$5)"),"Gestión de proyectos")</f>
        <v>Gestión de proyectos</v>
      </c>
      <c r="E28" s="26"/>
      <c r="F28" s="23" t="str">
        <f>IFERROR(__xludf.DUMMYFUNCTION("FILTER('Diseño'!F:F,'Diseño'!H:H=$C$5)"),"Introduccion a la gestión de proyectos")</f>
        <v>Introduccion a la gestión de proyectos</v>
      </c>
      <c r="G28" s="25"/>
      <c r="H28" s="26"/>
    </row>
    <row r="29" ht="15.75" customHeight="1">
      <c r="A29" s="24">
        <v>2.0</v>
      </c>
      <c r="B29" s="23" t="str">
        <f>IFERROR(__xludf.DUMMYFUNCTION("""COMPUTED_VALUE"""),"2. Microsoft Project")</f>
        <v>2. Microsoft Project</v>
      </c>
      <c r="C29" s="26"/>
      <c r="D29" s="23" t="str">
        <f>IFERROR(__xludf.DUMMYFUNCTION("""COMPUTED_VALUE"""),"Gestión de proyectos")</f>
        <v>Gestión de proyectos</v>
      </c>
      <c r="E29" s="26"/>
      <c r="F29" s="23" t="str">
        <f>IFERROR(__xludf.DUMMYFUNCTION("""COMPUTED_VALUE"""),"Instalación Microsoft proyect o Project libre")</f>
        <v>Instalación Microsoft proyect o Project libre</v>
      </c>
      <c r="G29" s="25"/>
      <c r="H29" s="26"/>
    </row>
    <row r="30" ht="15.75" customHeight="1">
      <c r="A30" s="24">
        <v>3.0</v>
      </c>
      <c r="B30" s="23" t="str">
        <f>IFERROR(__xludf.DUMMYFUNCTION("""COMPUTED_VALUE"""),"2. Microsoft Project")</f>
        <v>2. Microsoft Project</v>
      </c>
      <c r="C30" s="26"/>
      <c r="D30" s="23" t="str">
        <f>IFERROR(__xludf.DUMMYFUNCTION("""COMPUTED_VALUE"""),"Fundamentos de la Planificación de Proyectos")</f>
        <v>Fundamentos de la Planificación de Proyectos</v>
      </c>
      <c r="E30" s="26"/>
      <c r="F30" s="23" t="str">
        <f>IFERROR(__xludf.DUMMYFUNCTION("""COMPUTED_VALUE"""),"¿Qué es un proyeco y tipos de proyectos?")</f>
        <v>¿Qué es un proyeco y tipos de proyectos?</v>
      </c>
      <c r="G30" s="25"/>
      <c r="H30" s="26"/>
    </row>
    <row r="31" ht="15.75" customHeight="1">
      <c r="A31" s="24">
        <v>4.0</v>
      </c>
      <c r="B31" s="23" t="str">
        <f>IFERROR(__xludf.DUMMYFUNCTION("""COMPUTED_VALUE"""),"2. Microsoft Project")</f>
        <v>2. Microsoft Project</v>
      </c>
      <c r="C31" s="26"/>
      <c r="D31" s="23" t="str">
        <f>IFERROR(__xludf.DUMMYFUNCTION("""COMPUTED_VALUE"""),"Fundamentos de la Planificación de Proyectos")</f>
        <v>Fundamentos de la Planificación de Proyectos</v>
      </c>
      <c r="E31" s="26"/>
      <c r="F31" s="23" t="str">
        <f>IFERROR(__xludf.DUMMYFUNCTION("""COMPUTED_VALUE"""),"Teoría de Microsoft Project")</f>
        <v>Teoría de Microsoft Project</v>
      </c>
      <c r="G31" s="25"/>
      <c r="H31" s="26"/>
    </row>
    <row r="32" ht="15.75" customHeight="1">
      <c r="A32" s="24">
        <v>5.0</v>
      </c>
      <c r="B32" s="23" t="str">
        <f>IFERROR(__xludf.DUMMYFUNCTION("""COMPUTED_VALUE"""),"2. Microsoft Project")</f>
        <v>2. Microsoft Project</v>
      </c>
      <c r="C32" s="26"/>
      <c r="D32" s="23" t="str">
        <f>IFERROR(__xludf.DUMMYFUNCTION("""COMPUTED_VALUE"""),"Fundamentos de la Planificación de Proyectos")</f>
        <v>Fundamentos de la Planificación de Proyectos</v>
      </c>
      <c r="E32" s="26"/>
      <c r="F32" s="23" t="str">
        <f>IFERROR(__xludf.DUMMYFUNCTION("""COMPUTED_VALUE"""),"Explorando la interfaz de Microsoft Project o project libre")</f>
        <v>Explorando la interfaz de Microsoft Project o project libre</v>
      </c>
      <c r="G32" s="25"/>
      <c r="H32" s="26"/>
    </row>
    <row r="33" ht="15.75" customHeight="1">
      <c r="A33" s="24">
        <v>6.0</v>
      </c>
      <c r="B33" s="23" t="str">
        <f>IFERROR(__xludf.DUMMYFUNCTION("""COMPUTED_VALUE"""),"2. Microsoft Project")</f>
        <v>2. Microsoft Project</v>
      </c>
      <c r="C33" s="26"/>
      <c r="D33" s="23" t="str">
        <f>IFERROR(__xludf.DUMMYFUNCTION("""COMPUTED_VALUE"""),"Fundamentos de la Planificación de Proyectos")</f>
        <v>Fundamentos de la Planificación de Proyectos</v>
      </c>
      <c r="E33" s="26"/>
      <c r="F33" s="23" t="str">
        <f>IFERROR(__xludf.DUMMYFUNCTION("""COMPUTED_VALUE"""),"Características de un proyecto")</f>
        <v>Características de un proyecto</v>
      </c>
      <c r="G33" s="25"/>
      <c r="H33" s="26"/>
    </row>
    <row r="34" ht="15.75" customHeight="1">
      <c r="A34" s="24">
        <v>7.0</v>
      </c>
      <c r="B34" s="23" t="str">
        <f>IFERROR(__xludf.DUMMYFUNCTION("""COMPUTED_VALUE"""),"2. Microsoft Project")</f>
        <v>2. Microsoft Project</v>
      </c>
      <c r="C34" s="26"/>
      <c r="D34" s="23" t="str">
        <f>IFERROR(__xludf.DUMMYFUNCTION("""COMPUTED_VALUE"""),"Fundamentos de la Planificación de Proyectos")</f>
        <v>Fundamentos de la Planificación de Proyectos</v>
      </c>
      <c r="E34" s="26"/>
      <c r="F34" s="23" t="str">
        <f>IFERROR(__xludf.DUMMYFUNCTION("""COMPUTED_VALUE"""),"Características de un proyecto")</f>
        <v>Características de un proyecto</v>
      </c>
      <c r="G34" s="25"/>
      <c r="H34" s="26"/>
    </row>
    <row r="35" ht="15.75" customHeight="1"/>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61">
        <v>30.0</v>
      </c>
      <c r="E39" s="25"/>
      <c r="F39" s="25"/>
      <c r="G39" s="25"/>
      <c r="H39" s="26"/>
      <c r="I39" s="24" t="str">
        <f t="shared" ref="I39:I42" si="1">IF(D39&lt;=C39,"Correcto", "Corregir")</f>
        <v>Correcto</v>
      </c>
    </row>
    <row r="40" ht="15.75" customHeight="1">
      <c r="A40" s="24" t="s">
        <v>251</v>
      </c>
      <c r="B40" s="24" t="s">
        <v>248</v>
      </c>
      <c r="C40" s="24">
        <v>6.0</v>
      </c>
      <c r="D40" s="61">
        <v>5.0</v>
      </c>
      <c r="E40" s="25"/>
      <c r="F40" s="25"/>
      <c r="G40" s="25"/>
      <c r="H40" s="26"/>
      <c r="I40" s="24" t="str">
        <f t="shared" si="1"/>
        <v>Correcto</v>
      </c>
    </row>
    <row r="41" ht="15.75" customHeight="1">
      <c r="A41" s="24" t="s">
        <v>252</v>
      </c>
      <c r="B41" s="24" t="s">
        <v>253</v>
      </c>
      <c r="C41" s="24">
        <v>10.0</v>
      </c>
      <c r="D41" s="61">
        <v>0.0</v>
      </c>
      <c r="E41" s="25"/>
      <c r="F41" s="25"/>
      <c r="G41" s="25"/>
      <c r="H41" s="26"/>
      <c r="I41" s="24" t="str">
        <f t="shared" si="1"/>
        <v>Correcto</v>
      </c>
    </row>
    <row r="42" ht="15.75" customHeight="1">
      <c r="A42" s="24" t="s">
        <v>257</v>
      </c>
      <c r="B42" s="24" t="s">
        <v>248</v>
      </c>
      <c r="C42" s="24">
        <v>30.0</v>
      </c>
      <c r="D42" s="61">
        <v>20.0</v>
      </c>
      <c r="E42" s="25"/>
      <c r="F42" s="25"/>
      <c r="G42" s="25"/>
      <c r="H42" s="26"/>
      <c r="I42" s="24" t="str">
        <f t="shared" si="1"/>
        <v>Correcto</v>
      </c>
    </row>
    <row r="43" ht="15.75" customHeight="1"/>
    <row r="44" ht="15.75" customHeight="1">
      <c r="A44" s="103" t="s">
        <v>259</v>
      </c>
      <c r="G44" s="70" t="s">
        <v>40</v>
      </c>
      <c r="H44" s="104">
        <f>B50</f>
        <v>30</v>
      </c>
    </row>
    <row r="45" ht="15.75" customHeight="1">
      <c r="G45" s="49" t="s">
        <v>262</v>
      </c>
    </row>
    <row r="46" ht="15.75" customHeight="1">
      <c r="A46" s="49" t="s">
        <v>264</v>
      </c>
    </row>
    <row r="47">
      <c r="A47" s="55" t="s">
        <v>266</v>
      </c>
      <c r="B47" s="134" t="s">
        <v>298</v>
      </c>
      <c r="C47" s="25"/>
      <c r="D47" s="25"/>
      <c r="E47" s="25"/>
      <c r="F47" s="25"/>
      <c r="G47" s="25"/>
      <c r="H47" s="26"/>
    </row>
    <row r="48" ht="15.75" customHeight="1">
      <c r="A48" s="55" t="s">
        <v>11</v>
      </c>
      <c r="B48" s="61" t="s">
        <v>309</v>
      </c>
      <c r="C48" s="25"/>
      <c r="D48" s="25"/>
      <c r="E48" s="25"/>
      <c r="F48" s="25"/>
      <c r="G48" s="25"/>
      <c r="H48" s="26"/>
    </row>
    <row r="49" ht="15.75" customHeight="1">
      <c r="A49" s="55" t="s">
        <v>217</v>
      </c>
      <c r="B49" s="135">
        <v>0.0</v>
      </c>
      <c r="C49" s="25"/>
      <c r="D49" s="25"/>
      <c r="E49" s="25"/>
      <c r="F49" s="25"/>
      <c r="G49" s="25"/>
      <c r="H49" s="26"/>
    </row>
    <row r="50" ht="15.75" customHeight="1">
      <c r="A50" s="55" t="s">
        <v>40</v>
      </c>
      <c r="B50" s="61">
        <v>30.0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26" t="s">
        <v>310</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23"/>
      <c r="C58" s="25"/>
      <c r="D58" s="25"/>
      <c r="E58" s="25"/>
      <c r="F58" s="25"/>
      <c r="G58" s="25"/>
      <c r="H58" s="26"/>
    </row>
    <row r="59" ht="15.75" customHeight="1">
      <c r="A59" s="55" t="s">
        <v>11</v>
      </c>
      <c r="B59" s="23"/>
      <c r="C59" s="25"/>
      <c r="D59" s="25"/>
      <c r="E59" s="25"/>
      <c r="F59" s="25"/>
      <c r="G59" s="25"/>
      <c r="H59" s="26"/>
    </row>
    <row r="60" ht="15.75" customHeight="1">
      <c r="A60" s="55" t="s">
        <v>217</v>
      </c>
      <c r="B60" s="135"/>
      <c r="C60" s="25"/>
      <c r="D60" s="25"/>
      <c r="E60" s="25"/>
      <c r="F60" s="25"/>
      <c r="G60" s="25"/>
      <c r="H60" s="26"/>
    </row>
    <row r="61" ht="15.75" customHeight="1">
      <c r="A61" s="55" t="s">
        <v>40</v>
      </c>
      <c r="B61" s="135"/>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31"/>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10</v>
      </c>
    </row>
    <row r="69" ht="15.75" customHeight="1">
      <c r="G69" s="49" t="s">
        <v>285</v>
      </c>
    </row>
    <row r="70" ht="15.75" customHeight="1">
      <c r="A70" s="55" t="s">
        <v>40</v>
      </c>
      <c r="B70" s="124">
        <v>10.0</v>
      </c>
      <c r="C70" s="25"/>
      <c r="D70" s="25"/>
      <c r="E70" s="25"/>
      <c r="F70" s="25"/>
      <c r="G70" s="25"/>
      <c r="H70" s="26"/>
    </row>
    <row r="71" ht="15.75" customHeight="1">
      <c r="A71" s="123" t="s">
        <v>286</v>
      </c>
      <c r="B71" s="25"/>
      <c r="C71" s="25"/>
      <c r="D71" s="25"/>
      <c r="E71" s="25"/>
      <c r="F71" s="25"/>
      <c r="G71" s="25"/>
      <c r="H71" s="26"/>
    </row>
    <row r="72" ht="15.75" customHeight="1">
      <c r="A72" s="126" t="s">
        <v>312</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7.0</v>
      </c>
      <c r="D5" s="25"/>
      <c r="E5" s="25"/>
      <c r="F5" s="25"/>
      <c r="G5" s="26"/>
    </row>
    <row r="6" ht="15.75" customHeight="1">
      <c r="B6" s="95" t="s">
        <v>26</v>
      </c>
      <c r="C6" s="23">
        <f>H10+H21+H44+H68</f>
        <v>105</v>
      </c>
      <c r="D6" s="25"/>
      <c r="E6" s="25"/>
      <c r="F6" s="25"/>
      <c r="G6" s="26"/>
      <c r="I6" s="10"/>
    </row>
    <row r="7" ht="15.75" customHeight="1">
      <c r="B7" s="95" t="s">
        <v>217</v>
      </c>
      <c r="C7" s="23">
        <f>B49+B60</f>
        <v>0</v>
      </c>
      <c r="D7" s="25"/>
      <c r="E7" s="25"/>
      <c r="F7" s="25"/>
      <c r="G7" s="26"/>
    </row>
    <row r="8" ht="15.75" customHeight="1">
      <c r="B8" s="95"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5</v>
      </c>
    </row>
    <row r="11" ht="15.75" customHeight="1">
      <c r="G11" s="49" t="s">
        <v>220</v>
      </c>
    </row>
    <row r="12" ht="15.75" customHeight="1">
      <c r="A12" s="55" t="s">
        <v>221</v>
      </c>
      <c r="B12" s="61" t="s">
        <v>304</v>
      </c>
      <c r="C12" s="25"/>
      <c r="D12" s="25"/>
      <c r="E12" s="25"/>
      <c r="F12" s="25"/>
      <c r="G12" s="25"/>
      <c r="H12" s="26"/>
    </row>
    <row r="13" ht="15.75" customHeight="1">
      <c r="A13" s="59" t="s">
        <v>40</v>
      </c>
      <c r="B13" s="61">
        <v>5.0</v>
      </c>
      <c r="C13" s="25"/>
      <c r="D13" s="25"/>
      <c r="E13" s="25"/>
      <c r="F13" s="25"/>
      <c r="G13" s="25"/>
      <c r="H13" s="26"/>
    </row>
    <row r="14" ht="15.75" customHeight="1">
      <c r="A14" s="110" t="s">
        <v>223</v>
      </c>
      <c r="B14" s="25"/>
      <c r="C14" s="25"/>
      <c r="D14" s="25"/>
      <c r="E14" s="25"/>
      <c r="F14" s="25"/>
      <c r="G14" s="25"/>
      <c r="H14" s="26"/>
    </row>
    <row r="15" ht="15.75" customHeight="1">
      <c r="A15" s="126" t="s">
        <v>305</v>
      </c>
      <c r="B15" s="97"/>
      <c r="C15" s="97"/>
      <c r="D15" s="97"/>
      <c r="E15" s="97"/>
      <c r="F15" s="97"/>
      <c r="G15" s="97"/>
      <c r="H15" s="98"/>
    </row>
    <row r="16" ht="15.75" customHeight="1">
      <c r="A16" s="99"/>
      <c r="B16" s="100"/>
      <c r="C16" s="100"/>
      <c r="D16" s="100"/>
      <c r="E16" s="100"/>
      <c r="F16" s="100"/>
      <c r="G16" s="100"/>
      <c r="H16" s="101"/>
    </row>
    <row r="17" ht="15.75" customHeight="1">
      <c r="A17" s="110" t="s">
        <v>225</v>
      </c>
      <c r="B17" s="25"/>
      <c r="C17" s="25"/>
      <c r="D17" s="25"/>
      <c r="E17" s="25"/>
      <c r="F17" s="25"/>
      <c r="G17" s="25"/>
      <c r="H17" s="26"/>
    </row>
    <row r="18" ht="15.75" customHeight="1">
      <c r="A18" s="126" t="s">
        <v>306</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4">
        <f>SUM(D39:H42)</f>
        <v>50</v>
      </c>
      <c r="I21" s="10"/>
    </row>
    <row r="22" ht="15.75" customHeight="1">
      <c r="G22" s="49" t="s">
        <v>230</v>
      </c>
    </row>
    <row r="23" ht="15.75" customHeight="1">
      <c r="A23" s="55" t="s">
        <v>231</v>
      </c>
      <c r="B23" s="61" t="s">
        <v>307</v>
      </c>
      <c r="C23" s="25"/>
      <c r="D23" s="25"/>
      <c r="E23" s="25"/>
      <c r="F23" s="25"/>
      <c r="G23" s="25"/>
      <c r="H23" s="26"/>
    </row>
    <row r="24" ht="15.75" customHeight="1">
      <c r="A24" s="55" t="s">
        <v>231</v>
      </c>
      <c r="B24" s="61" t="s">
        <v>308</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24">
        <v>1.0</v>
      </c>
      <c r="B28" s="23" t="str">
        <f>IFERROR(__xludf.DUMMYFUNCTION("FILTER('Diseño'!D:D,'Diseño'!H:H=$C$5)"),"2. Microsoft Project")</f>
        <v>2. Microsoft Project</v>
      </c>
      <c r="C28" s="26"/>
      <c r="D28" s="23" t="str">
        <f>IFERROR(__xludf.DUMMYFUNCTION("FILTER('Diseño'!E:E,'Diseño'!H:H=$C$5)"),"Planificación de Tareas")</f>
        <v>Planificación de Tareas</v>
      </c>
      <c r="E28" s="26"/>
      <c r="F28" s="23" t="str">
        <f>IFERROR(__xludf.DUMMYFUNCTION("FILTER('Diseño'!F:F,'Diseño'!H:H=$C$5)"),"Ciclo de vida de un proyecto")</f>
        <v>Ciclo de vida de un proyecto</v>
      </c>
      <c r="G28" s="25"/>
      <c r="H28" s="26"/>
    </row>
    <row r="29" ht="15.75" customHeight="1">
      <c r="A29" s="24">
        <v>2.0</v>
      </c>
      <c r="B29" s="23" t="str">
        <f>IFERROR(__xludf.DUMMYFUNCTION("""COMPUTED_VALUE"""),"2. Microsoft Project")</f>
        <v>2. Microsoft Project</v>
      </c>
      <c r="C29" s="26"/>
      <c r="D29" s="23" t="str">
        <f>IFERROR(__xludf.DUMMYFUNCTION("""COMPUTED_VALUE"""),"Planificación de Tareas")</f>
        <v>Planificación de Tareas</v>
      </c>
      <c r="E29" s="26"/>
      <c r="F29" s="23" t="str">
        <f>IFERROR(__xludf.DUMMYFUNCTION("""COMPUTED_VALUE"""),"Roles en la gestión de proyectos")</f>
        <v>Roles en la gestión de proyectos</v>
      </c>
      <c r="G29" s="25"/>
      <c r="H29" s="26"/>
    </row>
    <row r="30" ht="15.75" customHeight="1">
      <c r="A30" s="24">
        <v>3.0</v>
      </c>
      <c r="B30" s="23" t="str">
        <f>IFERROR(__xludf.DUMMYFUNCTION("""COMPUTED_VALUE"""),"2. Microsoft Project")</f>
        <v>2. Microsoft Project</v>
      </c>
      <c r="C30" s="26"/>
      <c r="D30" s="23" t="str">
        <f>IFERROR(__xludf.DUMMYFUNCTION("""COMPUTED_VALUE"""),"Planificación de Tareas")</f>
        <v>Planificación de Tareas</v>
      </c>
      <c r="E30" s="26"/>
      <c r="F30" s="23" t="str">
        <f>IFERROR(__xludf.DUMMYFUNCTION("""COMPUTED_VALUE"""),"Definición de objetivos y Alcance del proyecto")</f>
        <v>Definición de objetivos y Alcance del proyecto</v>
      </c>
      <c r="G30" s="25"/>
      <c r="H30" s="26"/>
    </row>
    <row r="31" ht="15.75" customHeight="1">
      <c r="A31" s="24">
        <v>4.0</v>
      </c>
      <c r="B31" s="23" t="str">
        <f>IFERROR(__xludf.DUMMYFUNCTION("""COMPUTED_VALUE"""),"2. Microsoft Project")</f>
        <v>2. Microsoft Project</v>
      </c>
      <c r="C31" s="26"/>
      <c r="D31" s="23" t="str">
        <f>IFERROR(__xludf.DUMMYFUNCTION("""COMPUTED_VALUE"""),"Asignación de Recursos")</f>
        <v>Asignación de Recursos</v>
      </c>
      <c r="E31" s="26"/>
      <c r="F31" s="23" t="str">
        <f>IFERROR(__xludf.DUMMYFUNCTION("""COMPUTED_VALUE"""),"Estructura de desglose de trabajo")</f>
        <v>Estructura de desglose de trabajo</v>
      </c>
      <c r="G31" s="25"/>
      <c r="H31" s="26"/>
    </row>
    <row r="32" ht="15.75" customHeight="1">
      <c r="A32" s="24">
        <v>5.0</v>
      </c>
      <c r="B32" s="23" t="str">
        <f>IFERROR(__xludf.DUMMYFUNCTION("""COMPUTED_VALUE"""),"2. Microsoft Project")</f>
        <v>2. Microsoft Project</v>
      </c>
      <c r="C32" s="26"/>
      <c r="D32" s="23" t="str">
        <f>IFERROR(__xludf.DUMMYFUNCTION("""COMPUTED_VALUE"""),"Asignación de Recursos")</f>
        <v>Asignación de Recursos</v>
      </c>
      <c r="E32" s="26"/>
      <c r="F32" s="23" t="str">
        <f>IFERROR(__xludf.DUMMYFUNCTION("""COMPUTED_VALUE"""),"Estimación de tiempos y costos")</f>
        <v>Estimación de tiempos y costos</v>
      </c>
      <c r="G32" s="25"/>
      <c r="H32" s="26"/>
    </row>
    <row r="33" ht="15.75" customHeight="1">
      <c r="A33" s="24">
        <v>6.0</v>
      </c>
      <c r="B33" s="23" t="str">
        <f>IFERROR(__xludf.DUMMYFUNCTION("""COMPUTED_VALUE"""),"2. Microsoft Project")</f>
        <v>2. Microsoft Project</v>
      </c>
      <c r="C33" s="26"/>
      <c r="D33" s="23" t="str">
        <f>IFERROR(__xludf.DUMMYFUNCTION("""COMPUTED_VALUE"""),"Asignación de Recursos")</f>
        <v>Asignación de Recursos</v>
      </c>
      <c r="E33" s="26"/>
      <c r="F33" s="23" t="str">
        <f>IFERROR(__xludf.DUMMYFUNCTION("""COMPUTED_VALUE"""),"Asignación de recursos")</f>
        <v>Asignación de recursos</v>
      </c>
      <c r="G33" s="25"/>
      <c r="H33" s="26"/>
    </row>
    <row r="34" ht="15.75" customHeight="1">
      <c r="A34" s="24">
        <v>7.0</v>
      </c>
      <c r="B34" s="23" t="str">
        <f>IFERROR(__xludf.DUMMYFUNCTION("""COMPUTED_VALUE"""),"2. Microsoft Project")</f>
        <v>2. Microsoft Project</v>
      </c>
      <c r="C34" s="26"/>
      <c r="D34" s="23" t="str">
        <f>IFERROR(__xludf.DUMMYFUNCTION("""COMPUTED_VALUE"""),"Gestión de Costos")</f>
        <v>Gestión de Costos</v>
      </c>
      <c r="E34" s="26"/>
      <c r="F34" s="23" t="str">
        <f>IFERROR(__xludf.DUMMYFUNCTION("""COMPUTED_VALUE"""),"Análisis de costos")</f>
        <v>Análisis de costos</v>
      </c>
      <c r="G34" s="25"/>
      <c r="H34" s="26"/>
    </row>
    <row r="35" ht="15.75" customHeight="1"/>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61">
        <v>20.0</v>
      </c>
      <c r="E39" s="25"/>
      <c r="F39" s="25"/>
      <c r="G39" s="25"/>
      <c r="H39" s="26"/>
      <c r="I39" s="24" t="str">
        <f t="shared" ref="I39:I42" si="1">IF(D39&lt;=C39,"Correcto", "Corregir")</f>
        <v>Correcto</v>
      </c>
    </row>
    <row r="40" ht="15.75" customHeight="1">
      <c r="A40" s="24" t="s">
        <v>251</v>
      </c>
      <c r="B40" s="24" t="s">
        <v>248</v>
      </c>
      <c r="C40" s="24">
        <v>6.0</v>
      </c>
      <c r="D40" s="61">
        <v>5.0</v>
      </c>
      <c r="E40" s="25"/>
      <c r="F40" s="25"/>
      <c r="G40" s="25"/>
      <c r="H40" s="26"/>
      <c r="I40" s="24" t="str">
        <f t="shared" si="1"/>
        <v>Correcto</v>
      </c>
    </row>
    <row r="41" ht="15.75" customHeight="1">
      <c r="A41" s="24" t="s">
        <v>252</v>
      </c>
      <c r="B41" s="24" t="s">
        <v>253</v>
      </c>
      <c r="C41" s="24">
        <v>10.0</v>
      </c>
      <c r="D41" s="61">
        <v>0.0</v>
      </c>
      <c r="E41" s="25"/>
      <c r="F41" s="25"/>
      <c r="G41" s="25"/>
      <c r="H41" s="26"/>
      <c r="I41" s="24" t="str">
        <f t="shared" si="1"/>
        <v>Correcto</v>
      </c>
    </row>
    <row r="42" ht="15.75" customHeight="1">
      <c r="A42" s="24" t="s">
        <v>257</v>
      </c>
      <c r="B42" s="24" t="s">
        <v>248</v>
      </c>
      <c r="C42" s="24">
        <v>30.0</v>
      </c>
      <c r="D42" s="61">
        <v>25.0</v>
      </c>
      <c r="E42" s="25"/>
      <c r="F42" s="25"/>
      <c r="G42" s="25"/>
      <c r="H42" s="26"/>
      <c r="I42" s="24" t="str">
        <f t="shared" si="1"/>
        <v>Correcto</v>
      </c>
    </row>
    <row r="43" ht="15.75" customHeight="1"/>
    <row r="44" ht="15.75" customHeight="1">
      <c r="A44" s="103" t="s">
        <v>259</v>
      </c>
      <c r="G44" s="70" t="s">
        <v>40</v>
      </c>
      <c r="H44" s="104">
        <f>B50+B61</f>
        <v>40</v>
      </c>
    </row>
    <row r="45" ht="15.75" customHeight="1">
      <c r="G45" s="49" t="s">
        <v>262</v>
      </c>
    </row>
    <row r="46" ht="15.75" customHeight="1">
      <c r="A46" s="49" t="s">
        <v>264</v>
      </c>
    </row>
    <row r="47">
      <c r="A47" s="55" t="s">
        <v>266</v>
      </c>
      <c r="B47" s="61" t="s">
        <v>313</v>
      </c>
      <c r="C47" s="25"/>
      <c r="D47" s="25"/>
      <c r="E47" s="25"/>
      <c r="F47" s="25"/>
      <c r="G47" s="25"/>
      <c r="H47" s="26"/>
    </row>
    <row r="48" ht="15.75" customHeight="1">
      <c r="A48" s="55" t="s">
        <v>11</v>
      </c>
      <c r="B48" s="61" t="s">
        <v>280</v>
      </c>
      <c r="C48" s="25"/>
      <c r="D48" s="25"/>
      <c r="E48" s="25"/>
      <c r="F48" s="25"/>
      <c r="G48" s="25"/>
      <c r="H48" s="26"/>
    </row>
    <row r="49" ht="15.75" customHeight="1">
      <c r="A49" s="55" t="s">
        <v>217</v>
      </c>
      <c r="B49" s="135">
        <v>0.0</v>
      </c>
      <c r="C49" s="25"/>
      <c r="D49" s="25"/>
      <c r="E49" s="25"/>
      <c r="F49" s="25"/>
      <c r="G49" s="25"/>
      <c r="H49" s="26"/>
    </row>
    <row r="50" ht="15.75" customHeight="1">
      <c r="A50" s="55" t="s">
        <v>40</v>
      </c>
      <c r="B50" s="61">
        <v>30.0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26" t="s">
        <v>314</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61" t="s">
        <v>315</v>
      </c>
      <c r="C58" s="25"/>
      <c r="D58" s="25"/>
      <c r="E58" s="25"/>
      <c r="F58" s="25"/>
      <c r="G58" s="25"/>
      <c r="H58" s="26"/>
    </row>
    <row r="59" ht="15.75" customHeight="1">
      <c r="A59" s="55" t="s">
        <v>11</v>
      </c>
      <c r="B59" s="61" t="s">
        <v>316</v>
      </c>
      <c r="C59" s="25"/>
      <c r="D59" s="25"/>
      <c r="E59" s="25"/>
      <c r="F59" s="25"/>
      <c r="G59" s="25"/>
      <c r="H59" s="26"/>
    </row>
    <row r="60" ht="15.75" customHeight="1">
      <c r="A60" s="55" t="s">
        <v>217</v>
      </c>
      <c r="B60" s="124">
        <v>0.0</v>
      </c>
      <c r="C60" s="25"/>
      <c r="D60" s="25"/>
      <c r="E60" s="25"/>
      <c r="F60" s="25"/>
      <c r="G60" s="25"/>
      <c r="H60" s="26"/>
    </row>
    <row r="61" ht="15.75" customHeight="1">
      <c r="A61" s="55" t="s">
        <v>40</v>
      </c>
      <c r="B61" s="124">
        <v>10.0</v>
      </c>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26" t="s">
        <v>318</v>
      </c>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10</v>
      </c>
    </row>
    <row r="69" ht="15.75" customHeight="1">
      <c r="G69" s="49" t="s">
        <v>285</v>
      </c>
    </row>
    <row r="70" ht="15.75" customHeight="1">
      <c r="A70" s="55" t="s">
        <v>40</v>
      </c>
      <c r="B70" s="124">
        <v>10.0</v>
      </c>
      <c r="C70" s="25"/>
      <c r="D70" s="25"/>
      <c r="E70" s="25"/>
      <c r="F70" s="25"/>
      <c r="G70" s="25"/>
      <c r="H70" s="26"/>
    </row>
    <row r="71" ht="15.75" customHeight="1">
      <c r="A71" s="123" t="s">
        <v>286</v>
      </c>
      <c r="B71" s="25"/>
      <c r="C71" s="25"/>
      <c r="D71" s="25"/>
      <c r="E71" s="25"/>
      <c r="F71" s="25"/>
      <c r="G71" s="25"/>
      <c r="H71" s="26"/>
    </row>
    <row r="72" ht="15.75" customHeight="1">
      <c r="A72" s="126" t="s">
        <v>319</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8.0</v>
      </c>
      <c r="D5" s="25"/>
      <c r="E5" s="25"/>
      <c r="F5" s="25"/>
      <c r="G5" s="26"/>
    </row>
    <row r="6" ht="15.75" customHeight="1">
      <c r="B6" s="95" t="s">
        <v>26</v>
      </c>
      <c r="C6" s="23">
        <f>H10+H21+H44+H68</f>
        <v>100</v>
      </c>
      <c r="D6" s="25"/>
      <c r="E6" s="25"/>
      <c r="F6" s="25"/>
      <c r="G6" s="26"/>
      <c r="I6" s="10"/>
    </row>
    <row r="7" ht="15.75" customHeight="1">
      <c r="B7" s="95" t="s">
        <v>217</v>
      </c>
      <c r="C7" s="23">
        <f>B49+B60</f>
        <v>0</v>
      </c>
      <c r="D7" s="25"/>
      <c r="E7" s="25"/>
      <c r="F7" s="25"/>
      <c r="G7" s="26"/>
    </row>
    <row r="8" ht="15.75" customHeight="1">
      <c r="B8" s="95"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5</v>
      </c>
    </row>
    <row r="11" ht="15.75" customHeight="1">
      <c r="G11" s="49" t="s">
        <v>220</v>
      </c>
    </row>
    <row r="12" ht="15.75" customHeight="1">
      <c r="A12" s="55" t="s">
        <v>221</v>
      </c>
      <c r="B12" s="61" t="s">
        <v>320</v>
      </c>
      <c r="C12" s="25"/>
      <c r="D12" s="25"/>
      <c r="E12" s="25"/>
      <c r="F12" s="25"/>
      <c r="G12" s="25"/>
      <c r="H12" s="26"/>
    </row>
    <row r="13" ht="15.75" customHeight="1">
      <c r="A13" s="59" t="s">
        <v>40</v>
      </c>
      <c r="B13" s="61">
        <v>5.0</v>
      </c>
      <c r="C13" s="25"/>
      <c r="D13" s="25"/>
      <c r="E13" s="25"/>
      <c r="F13" s="25"/>
      <c r="G13" s="25"/>
      <c r="H13" s="26"/>
    </row>
    <row r="14" ht="15.75" customHeight="1">
      <c r="A14" s="110" t="s">
        <v>223</v>
      </c>
      <c r="B14" s="25"/>
      <c r="C14" s="25"/>
      <c r="D14" s="25"/>
      <c r="E14" s="25"/>
      <c r="F14" s="25"/>
      <c r="G14" s="25"/>
      <c r="H14" s="26"/>
    </row>
    <row r="15" ht="15.75" customHeight="1">
      <c r="A15" s="126" t="s">
        <v>321</v>
      </c>
      <c r="B15" s="97"/>
      <c r="C15" s="97"/>
      <c r="D15" s="97"/>
      <c r="E15" s="97"/>
      <c r="F15" s="97"/>
      <c r="G15" s="97"/>
      <c r="H15" s="98"/>
    </row>
    <row r="16" ht="15.75" customHeight="1">
      <c r="A16" s="99"/>
      <c r="B16" s="100"/>
      <c r="C16" s="100"/>
      <c r="D16" s="100"/>
      <c r="E16" s="100"/>
      <c r="F16" s="100"/>
      <c r="G16" s="100"/>
      <c r="H16" s="101"/>
    </row>
    <row r="17" ht="15.75" customHeight="1">
      <c r="A17" s="110" t="s">
        <v>225</v>
      </c>
      <c r="B17" s="25"/>
      <c r="C17" s="25"/>
      <c r="D17" s="25"/>
      <c r="E17" s="25"/>
      <c r="F17" s="25"/>
      <c r="G17" s="25"/>
      <c r="H17" s="26"/>
    </row>
    <row r="18" ht="15.75" customHeight="1">
      <c r="A18" s="126" t="s">
        <v>322</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4">
        <f>SUM(D39:H42)</f>
        <v>55</v>
      </c>
      <c r="I21" s="10"/>
    </row>
    <row r="22" ht="15.75" customHeight="1">
      <c r="G22" s="49" t="s">
        <v>230</v>
      </c>
    </row>
    <row r="23" ht="15.75" customHeight="1">
      <c r="A23" s="55" t="s">
        <v>231</v>
      </c>
      <c r="B23" s="61" t="s">
        <v>323</v>
      </c>
      <c r="C23" s="25"/>
      <c r="D23" s="25"/>
      <c r="E23" s="25"/>
      <c r="F23" s="25"/>
      <c r="G23" s="25"/>
      <c r="H23" s="26"/>
    </row>
    <row r="24" ht="15.75" customHeight="1">
      <c r="A24" s="55" t="s">
        <v>231</v>
      </c>
      <c r="B24" s="61" t="s">
        <v>146</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24">
        <v>1.0</v>
      </c>
      <c r="B28" s="23" t="str">
        <f>IFERROR(__xludf.DUMMYFUNCTION("FILTER('Diseño'!D:D,'Diseño'!H:H=$C$5)"),"3. Powe Bi")</f>
        <v>3. Powe Bi</v>
      </c>
      <c r="C28" s="26"/>
      <c r="D28" s="23" t="str">
        <f>IFERROR(__xludf.DUMMYFUNCTION("FILTER('Diseño'!E:E,'Diseño'!H:H=$C$5)"),"Analisis de datos")</f>
        <v>Analisis de datos</v>
      </c>
      <c r="E28" s="26"/>
      <c r="F28" s="23" t="str">
        <f>IFERROR(__xludf.DUMMYFUNCTION("FILTER('Diseño'!F:F,'Diseño'!H:H=$C$5)"),"Interpretación de costos")</f>
        <v>Interpretación de costos</v>
      </c>
      <c r="G28" s="25"/>
      <c r="H28" s="26"/>
    </row>
    <row r="29" ht="15.75" customHeight="1">
      <c r="A29" s="24">
        <v>2.0</v>
      </c>
      <c r="B29" s="23" t="str">
        <f>IFERROR(__xludf.DUMMYFUNCTION("""COMPUTED_VALUE"""),"3. Powe Bi")</f>
        <v>3. Powe Bi</v>
      </c>
      <c r="C29" s="26"/>
      <c r="D29" s="23" t="str">
        <f>IFERROR(__xludf.DUMMYFUNCTION("""COMPUTED_VALUE"""),"Analisis de datos")</f>
        <v>Analisis de datos</v>
      </c>
      <c r="E29" s="26"/>
      <c r="F29" s="23" t="str">
        <f>IFERROR(__xludf.DUMMYFUNCTION("""COMPUTED_VALUE"""),"Evaluación de costos en tomas de desiciones")</f>
        <v>Evaluación de costos en tomas de desiciones</v>
      </c>
      <c r="G29" s="25"/>
      <c r="H29" s="26"/>
    </row>
    <row r="30" ht="15.75" customHeight="1">
      <c r="A30" s="24">
        <v>3.0</v>
      </c>
      <c r="B30" s="23" t="str">
        <f>IFERROR(__xludf.DUMMYFUNCTION("""COMPUTED_VALUE"""),"3. Powe Bi")</f>
        <v>3. Powe Bi</v>
      </c>
      <c r="C30" s="26"/>
      <c r="D30" s="23" t="str">
        <f>IFERROR(__xludf.DUMMYFUNCTION("""COMPUTED_VALUE"""),"Analisis de datos")</f>
        <v>Analisis de datos</v>
      </c>
      <c r="E30" s="26"/>
      <c r="F30" s="23" t="str">
        <f>IFERROR(__xludf.DUMMYFUNCTION("""COMPUTED_VALUE"""),"¿Qué es el análisis de datos?")</f>
        <v>¿Qué es el análisis de datos?</v>
      </c>
      <c r="G30" s="25"/>
      <c r="H30" s="26"/>
    </row>
    <row r="31" ht="15.75" customHeight="1">
      <c r="A31" s="24">
        <v>4.0</v>
      </c>
      <c r="B31" s="23" t="str">
        <f>IFERROR(__xludf.DUMMYFUNCTION("""COMPUTED_VALUE"""),"3. Powe Bi")</f>
        <v>3. Powe Bi</v>
      </c>
      <c r="C31" s="26"/>
      <c r="D31" s="23" t="str">
        <f>IFERROR(__xludf.DUMMYFUNCTION("""COMPUTED_VALUE"""),"Analisis de datos")</f>
        <v>Analisis de datos</v>
      </c>
      <c r="E31" s="26"/>
      <c r="F31" s="23" t="str">
        <f>IFERROR(__xludf.DUMMYFUNCTION("""COMPUTED_VALUE"""),"Conceptos básicos: datos, información y conocimiento.")</f>
        <v>Conceptos básicos: datos, información y conocimiento.</v>
      </c>
      <c r="G31" s="25"/>
      <c r="H31" s="26"/>
    </row>
    <row r="32" ht="15.75" customHeight="1">
      <c r="A32" s="24">
        <v>5.0</v>
      </c>
      <c r="B32" s="23" t="str">
        <f>IFERROR(__xludf.DUMMYFUNCTION("""COMPUTED_VALUE"""),"3. Powe Bi")</f>
        <v>3. Powe Bi</v>
      </c>
      <c r="C32" s="26"/>
      <c r="D32" s="23" t="str">
        <f>IFERROR(__xludf.DUMMYFUNCTION("""COMPUTED_VALUE"""),"Analisis de datos")</f>
        <v>Analisis de datos</v>
      </c>
      <c r="E32" s="26"/>
      <c r="F32" s="23" t="str">
        <f>IFERROR(__xludf.DUMMYFUNCTION("""COMPUTED_VALUE"""),"Tipos de análisis: descriptivo, predictivo, prescriptivo.")</f>
        <v>Tipos de análisis: descriptivo, predictivo, prescriptivo.</v>
      </c>
      <c r="G32" s="25"/>
      <c r="H32" s="26"/>
    </row>
    <row r="33" ht="15.75" customHeight="1">
      <c r="A33" s="24">
        <v>6.0</v>
      </c>
      <c r="B33" s="23" t="str">
        <f>IFERROR(__xludf.DUMMYFUNCTION("""COMPUTED_VALUE"""),"3. Powe Bi")</f>
        <v>3. Powe Bi</v>
      </c>
      <c r="C33" s="26"/>
      <c r="D33" s="23" t="str">
        <f>IFERROR(__xludf.DUMMYFUNCTION("""COMPUTED_VALUE"""),"Analisis de datos")</f>
        <v>Analisis de datos</v>
      </c>
      <c r="E33" s="26"/>
      <c r="F33" s="23" t="str">
        <f>IFERROR(__xludf.DUMMYFUNCTION("""COMPUTED_VALUE"""),"Introducción a Power BI")</f>
        <v>Introducción a Power BI</v>
      </c>
      <c r="G33" s="25"/>
      <c r="H33" s="26"/>
    </row>
    <row r="34" ht="15.75" customHeight="1">
      <c r="A34" s="24">
        <v>7.0</v>
      </c>
      <c r="B34" s="23" t="str">
        <f>IFERROR(__xludf.DUMMYFUNCTION("""COMPUTED_VALUE"""),"3. Powe Bi")</f>
        <v>3. Powe Bi</v>
      </c>
      <c r="C34" s="26"/>
      <c r="D34" s="23" t="str">
        <f>IFERROR(__xludf.DUMMYFUNCTION("""COMPUTED_VALUE"""),"Analisis de datos")</f>
        <v>Analisis de datos</v>
      </c>
      <c r="E34" s="26"/>
      <c r="F34" s="23" t="str">
        <f>IFERROR(__xludf.DUMMYFUNCTION("""COMPUTED_VALUE"""),"¿Qué es Power BI y para qué sirve?")</f>
        <v>¿Qué es Power BI y para qué sirve?</v>
      </c>
      <c r="G34" s="25"/>
      <c r="H34" s="26"/>
    </row>
    <row r="35" ht="15.75" customHeight="1"/>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61">
        <v>25.0</v>
      </c>
      <c r="E39" s="25"/>
      <c r="F39" s="25"/>
      <c r="G39" s="25"/>
      <c r="H39" s="26"/>
      <c r="I39" s="24" t="str">
        <f t="shared" ref="I39:I42" si="1">IF(D39&lt;=C39,"Correcto", "Corregir")</f>
        <v>Correcto</v>
      </c>
    </row>
    <row r="40" ht="15.75" customHeight="1">
      <c r="A40" s="24" t="s">
        <v>251</v>
      </c>
      <c r="B40" s="24" t="s">
        <v>248</v>
      </c>
      <c r="C40" s="24">
        <v>6.0</v>
      </c>
      <c r="D40" s="61">
        <v>5.0</v>
      </c>
      <c r="E40" s="25"/>
      <c r="F40" s="25"/>
      <c r="G40" s="25"/>
      <c r="H40" s="26"/>
      <c r="I40" s="24" t="str">
        <f t="shared" si="1"/>
        <v>Correcto</v>
      </c>
    </row>
    <row r="41" ht="15.75" customHeight="1">
      <c r="A41" s="24" t="s">
        <v>252</v>
      </c>
      <c r="B41" s="24" t="s">
        <v>253</v>
      </c>
      <c r="C41" s="24">
        <v>10.0</v>
      </c>
      <c r="D41" s="61">
        <v>0.0</v>
      </c>
      <c r="E41" s="25"/>
      <c r="F41" s="25"/>
      <c r="G41" s="25"/>
      <c r="H41" s="26"/>
      <c r="I41" s="24" t="str">
        <f t="shared" si="1"/>
        <v>Correcto</v>
      </c>
    </row>
    <row r="42" ht="15.75" customHeight="1">
      <c r="A42" s="24" t="s">
        <v>257</v>
      </c>
      <c r="B42" s="24" t="s">
        <v>248</v>
      </c>
      <c r="C42" s="24">
        <v>30.0</v>
      </c>
      <c r="D42" s="61">
        <v>25.0</v>
      </c>
      <c r="E42" s="25"/>
      <c r="F42" s="25"/>
      <c r="G42" s="25"/>
      <c r="H42" s="26"/>
      <c r="I42" s="24" t="str">
        <f t="shared" si="1"/>
        <v>Correcto</v>
      </c>
    </row>
    <row r="43" ht="15.75" customHeight="1"/>
    <row r="44" ht="15.75" customHeight="1">
      <c r="A44" s="103" t="s">
        <v>259</v>
      </c>
      <c r="G44" s="70" t="s">
        <v>40</v>
      </c>
      <c r="H44" s="104">
        <f>B50</f>
        <v>30</v>
      </c>
    </row>
    <row r="45" ht="15.75" customHeight="1">
      <c r="G45" s="49" t="s">
        <v>262</v>
      </c>
    </row>
    <row r="46" ht="15.75" customHeight="1">
      <c r="A46" s="49" t="s">
        <v>264</v>
      </c>
    </row>
    <row r="47">
      <c r="A47" s="55" t="s">
        <v>266</v>
      </c>
      <c r="B47" s="61" t="s">
        <v>162</v>
      </c>
      <c r="C47" s="25"/>
      <c r="D47" s="25"/>
      <c r="E47" s="25"/>
      <c r="F47" s="25"/>
      <c r="G47" s="25"/>
      <c r="H47" s="26"/>
    </row>
    <row r="48" ht="15.75" customHeight="1">
      <c r="A48" s="55" t="s">
        <v>11</v>
      </c>
      <c r="B48" s="61" t="s">
        <v>309</v>
      </c>
      <c r="C48" s="25"/>
      <c r="D48" s="25"/>
      <c r="E48" s="25"/>
      <c r="F48" s="25"/>
      <c r="G48" s="25"/>
      <c r="H48" s="26"/>
    </row>
    <row r="49" ht="15.75" customHeight="1">
      <c r="A49" s="55" t="s">
        <v>217</v>
      </c>
      <c r="B49" s="135">
        <v>0.0</v>
      </c>
      <c r="C49" s="25"/>
      <c r="D49" s="25"/>
      <c r="E49" s="25"/>
      <c r="F49" s="25"/>
      <c r="G49" s="25"/>
      <c r="H49" s="26"/>
    </row>
    <row r="50" ht="15.75" customHeight="1">
      <c r="A50" s="55" t="s">
        <v>40</v>
      </c>
      <c r="B50" s="61">
        <v>30.0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26" t="s">
        <v>327</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23"/>
      <c r="C58" s="25"/>
      <c r="D58" s="25"/>
      <c r="E58" s="25"/>
      <c r="F58" s="25"/>
      <c r="G58" s="25"/>
      <c r="H58" s="26"/>
    </row>
    <row r="59" ht="15.75" customHeight="1">
      <c r="A59" s="55" t="s">
        <v>11</v>
      </c>
      <c r="B59" s="23"/>
      <c r="C59" s="25"/>
      <c r="D59" s="25"/>
      <c r="E59" s="25"/>
      <c r="F59" s="25"/>
      <c r="G59" s="25"/>
      <c r="H59" s="26"/>
    </row>
    <row r="60" ht="15.75" customHeight="1">
      <c r="A60" s="55" t="s">
        <v>217</v>
      </c>
      <c r="B60" s="135"/>
      <c r="C60" s="25"/>
      <c r="D60" s="25"/>
      <c r="E60" s="25"/>
      <c r="F60" s="25"/>
      <c r="G60" s="25"/>
      <c r="H60" s="26"/>
    </row>
    <row r="61" ht="15.75" customHeight="1">
      <c r="A61" s="55" t="s">
        <v>40</v>
      </c>
      <c r="B61" s="135"/>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31"/>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10</v>
      </c>
    </row>
    <row r="69" ht="15.75" customHeight="1">
      <c r="G69" s="49" t="s">
        <v>285</v>
      </c>
    </row>
    <row r="70" ht="15.75" customHeight="1">
      <c r="A70" s="55" t="s">
        <v>40</v>
      </c>
      <c r="B70" s="124">
        <v>10.0</v>
      </c>
      <c r="C70" s="25"/>
      <c r="D70" s="25"/>
      <c r="E70" s="25"/>
      <c r="F70" s="25"/>
      <c r="G70" s="25"/>
      <c r="H70" s="26"/>
    </row>
    <row r="71" ht="15.75" customHeight="1">
      <c r="A71" s="123" t="s">
        <v>286</v>
      </c>
      <c r="B71" s="25"/>
      <c r="C71" s="25"/>
      <c r="D71" s="25"/>
      <c r="E71" s="25"/>
      <c r="F71" s="25"/>
      <c r="G71" s="25"/>
      <c r="H71" s="26"/>
    </row>
    <row r="72" ht="15.75" customHeight="1">
      <c r="A72" s="126" t="s">
        <v>328</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9.0</v>
      </c>
      <c r="D5" s="25"/>
      <c r="E5" s="25"/>
      <c r="F5" s="25"/>
      <c r="G5" s="26"/>
    </row>
    <row r="6" ht="15.75" customHeight="1">
      <c r="B6" s="95" t="s">
        <v>26</v>
      </c>
      <c r="C6" s="23">
        <f>H10+H21+H44+H68</f>
        <v>105</v>
      </c>
      <c r="D6" s="25"/>
      <c r="E6" s="25"/>
      <c r="F6" s="25"/>
      <c r="G6" s="26"/>
      <c r="I6" s="10"/>
    </row>
    <row r="7" ht="15.75" customHeight="1">
      <c r="B7" s="95" t="s">
        <v>217</v>
      </c>
      <c r="C7" s="23">
        <f>B49+B60</f>
        <v>0</v>
      </c>
      <c r="D7" s="25"/>
      <c r="E7" s="25"/>
      <c r="F7" s="25"/>
      <c r="G7" s="26"/>
    </row>
    <row r="8" ht="15.75" customHeight="1">
      <c r="B8" s="95"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5</v>
      </c>
    </row>
    <row r="11" ht="15.75" customHeight="1">
      <c r="G11" s="49" t="s">
        <v>220</v>
      </c>
    </row>
    <row r="12" ht="15.75" customHeight="1">
      <c r="A12" s="55" t="s">
        <v>221</v>
      </c>
      <c r="B12" s="61" t="s">
        <v>324</v>
      </c>
      <c r="C12" s="25"/>
      <c r="D12" s="25"/>
      <c r="E12" s="25"/>
      <c r="F12" s="25"/>
      <c r="G12" s="25"/>
      <c r="H12" s="26"/>
    </row>
    <row r="13" ht="15.75" customHeight="1">
      <c r="A13" s="59" t="s">
        <v>40</v>
      </c>
      <c r="B13" s="61">
        <v>5.0</v>
      </c>
      <c r="C13" s="25"/>
      <c r="D13" s="25"/>
      <c r="E13" s="25"/>
      <c r="F13" s="25"/>
      <c r="G13" s="25"/>
      <c r="H13" s="26"/>
    </row>
    <row r="14" ht="15.75" customHeight="1">
      <c r="A14" s="110" t="s">
        <v>223</v>
      </c>
      <c r="B14" s="25"/>
      <c r="C14" s="25"/>
      <c r="D14" s="25"/>
      <c r="E14" s="25"/>
      <c r="F14" s="25"/>
      <c r="G14" s="25"/>
      <c r="H14" s="26"/>
    </row>
    <row r="15" ht="15.75" customHeight="1">
      <c r="A15" s="126" t="s">
        <v>325</v>
      </c>
      <c r="B15" s="97"/>
      <c r="C15" s="97"/>
      <c r="D15" s="97"/>
      <c r="E15" s="97"/>
      <c r="F15" s="97"/>
      <c r="G15" s="97"/>
      <c r="H15" s="98"/>
    </row>
    <row r="16" ht="15.75" customHeight="1">
      <c r="A16" s="99"/>
      <c r="B16" s="100"/>
      <c r="C16" s="100"/>
      <c r="D16" s="100"/>
      <c r="E16" s="100"/>
      <c r="F16" s="100"/>
      <c r="G16" s="100"/>
      <c r="H16" s="101"/>
    </row>
    <row r="17" ht="15.75" customHeight="1">
      <c r="A17" s="110" t="s">
        <v>225</v>
      </c>
      <c r="B17" s="25"/>
      <c r="C17" s="25"/>
      <c r="D17" s="25"/>
      <c r="E17" s="25"/>
      <c r="F17" s="25"/>
      <c r="G17" s="25"/>
      <c r="H17" s="26"/>
    </row>
    <row r="18" ht="15.75" customHeight="1">
      <c r="A18" s="126" t="s">
        <v>326</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4">
        <f>SUM(D39:H42)</f>
        <v>50</v>
      </c>
      <c r="I21" s="10"/>
    </row>
    <row r="22" ht="15.75" customHeight="1">
      <c r="G22" s="49" t="s">
        <v>230</v>
      </c>
    </row>
    <row r="23" ht="15.75" customHeight="1">
      <c r="A23" s="55" t="s">
        <v>231</v>
      </c>
      <c r="B23" s="61" t="s">
        <v>24</v>
      </c>
      <c r="C23" s="25"/>
      <c r="D23" s="25"/>
      <c r="E23" s="25"/>
      <c r="F23" s="25"/>
      <c r="G23" s="25"/>
      <c r="H23" s="26"/>
    </row>
    <row r="24" ht="15.75" customHeight="1">
      <c r="A24" s="55" t="s">
        <v>231</v>
      </c>
      <c r="B24" s="61" t="s">
        <v>242</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24">
        <v>1.0</v>
      </c>
      <c r="B28" s="23" t="str">
        <f>IFERROR(__xludf.DUMMYFUNCTION("FILTER('Diseño'!D:D,'Diseño'!H:H=$C$5)"),"3. Powe Bi")</f>
        <v>3. Powe Bi</v>
      </c>
      <c r="C28" s="26"/>
      <c r="D28" s="23" t="str">
        <f>IFERROR(__xludf.DUMMYFUNCTION("FILTER('Diseño'!E:E,'Diseño'!H:H=$C$5)"),"Power BI")</f>
        <v>Power BI</v>
      </c>
      <c r="E28" s="26"/>
      <c r="F28" s="23" t="str">
        <f>IFERROR(__xludf.DUMMYFUNCTION("FILTER('Diseño'!F:F,'Diseño'!H:H=$C$5)"),"Elementos principales: Desktop, Service y Mobile.")</f>
        <v>Elementos principales: Desktop, Service y Mobile.</v>
      </c>
      <c r="G28" s="25"/>
      <c r="H28" s="26"/>
    </row>
    <row r="29" ht="15.75" customHeight="1">
      <c r="A29" s="24">
        <v>2.0</v>
      </c>
      <c r="B29" s="23" t="str">
        <f>IFERROR(__xludf.DUMMYFUNCTION("""COMPUTED_VALUE"""),"3. Powe Bi")</f>
        <v>3. Powe Bi</v>
      </c>
      <c r="C29" s="26"/>
      <c r="D29" s="23" t="str">
        <f>IFERROR(__xludf.DUMMYFUNCTION("""COMPUTED_VALUE"""),"Power BI")</f>
        <v>Power BI</v>
      </c>
      <c r="E29" s="26"/>
      <c r="F29" s="23" t="str">
        <f>IFERROR(__xludf.DUMMYFUNCTION("""COMPUTED_VALUE"""),"Instalación y exploración de power bi")</f>
        <v>Instalación y exploración de power bi</v>
      </c>
      <c r="G29" s="25"/>
      <c r="H29" s="26"/>
    </row>
    <row r="30" ht="15.75" customHeight="1">
      <c r="A30" s="24">
        <v>3.0</v>
      </c>
      <c r="B30" s="23" t="str">
        <f>IFERROR(__xludf.DUMMYFUNCTION("""COMPUTED_VALUE"""),"3. Powe Bi")</f>
        <v>3. Powe Bi</v>
      </c>
      <c r="C30" s="26"/>
      <c r="D30" s="23" t="str">
        <f>IFERROR(__xludf.DUMMYFUNCTION("""COMPUTED_VALUE"""),"Power BI")</f>
        <v>Power BI</v>
      </c>
      <c r="E30" s="26"/>
      <c r="F30" s="23" t="str">
        <f>IFERROR(__xludf.DUMMYFUNCTION("""COMPUTED_VALUE"""),"Primeros pasos: configuración inicial")</f>
        <v>Primeros pasos: configuración inicial</v>
      </c>
      <c r="G30" s="25"/>
      <c r="H30" s="26"/>
    </row>
    <row r="31" ht="15.75" customHeight="1">
      <c r="A31" s="24">
        <v>4.0</v>
      </c>
      <c r="B31" s="23" t="str">
        <f>IFERROR(__xludf.DUMMYFUNCTION("""COMPUTED_VALUE"""),"3. Powe Bi")</f>
        <v>3. Powe Bi</v>
      </c>
      <c r="C31" s="26"/>
      <c r="D31" s="23" t="str">
        <f>IFERROR(__xludf.DUMMYFUNCTION("""COMPUTED_VALUE"""),"Power BI")</f>
        <v>Power BI</v>
      </c>
      <c r="E31" s="26"/>
      <c r="F31" s="23" t="str">
        <f>IFERROR(__xludf.DUMMYFUNCTION("""COMPUTED_VALUE"""),"Conociendo la interfaz")</f>
        <v>Conociendo la interfaz</v>
      </c>
      <c r="G31" s="25"/>
      <c r="H31" s="26"/>
    </row>
    <row r="32" ht="15.75" customHeight="1">
      <c r="A32" s="24">
        <v>5.0</v>
      </c>
      <c r="B32" s="23" t="str">
        <f>IFERROR(__xludf.DUMMYFUNCTION("""COMPUTED_VALUE"""),"3. Powe Bi")</f>
        <v>3. Powe Bi</v>
      </c>
      <c r="C32" s="26"/>
      <c r="D32" s="23" t="str">
        <f>IFERROR(__xludf.DUMMYFUNCTION("""COMPUTED_VALUE"""),"Power BI")</f>
        <v>Power BI</v>
      </c>
      <c r="E32" s="26"/>
      <c r="F32" s="23" t="str">
        <f>IFERROR(__xludf.DUMMYFUNCTION("""COMPUTED_VALUE"""),"Áreas de trabajo: Informe, Datos y Modelo")</f>
        <v>Áreas de trabajo: Informe, Datos y Modelo</v>
      </c>
      <c r="G32" s="25"/>
      <c r="H32" s="26"/>
    </row>
    <row r="33" ht="15.75" customHeight="1">
      <c r="A33" s="24">
        <v>6.0</v>
      </c>
      <c r="B33" s="23" t="str">
        <f>IFERROR(__xludf.DUMMYFUNCTION("""COMPUTED_VALUE"""),"3. Powe Bi")</f>
        <v>3. Powe Bi</v>
      </c>
      <c r="C33" s="26"/>
      <c r="D33" s="23" t="str">
        <f>IFERROR(__xludf.DUMMYFUNCTION("""COMPUTED_VALUE"""),"Power BI")</f>
        <v>Power BI</v>
      </c>
      <c r="E33" s="26"/>
      <c r="F33" s="23" t="str">
        <f>IFERROR(__xludf.DUMMYFUNCTION("""COMPUTED_VALUE"""),"Herramientas y páneles principales")</f>
        <v>Herramientas y páneles principales</v>
      </c>
      <c r="G33" s="25"/>
      <c r="H33" s="26"/>
    </row>
    <row r="34" ht="15.75" customHeight="1">
      <c r="A34" s="24">
        <v>7.0</v>
      </c>
      <c r="B34" s="23" t="str">
        <f>IFERROR(__xludf.DUMMYFUNCTION("""COMPUTED_VALUE"""),"3. Powe Bi")</f>
        <v>3. Powe Bi</v>
      </c>
      <c r="C34" s="26"/>
      <c r="D34" s="23" t="str">
        <f>IFERROR(__xludf.DUMMYFUNCTION("""COMPUTED_VALUE"""),"Power BI")</f>
        <v>Power BI</v>
      </c>
      <c r="E34" s="26"/>
      <c r="F34" s="23" t="str">
        <f>IFERROR(__xludf.DUMMYFUNCTION("""COMPUTED_VALUE"""),"Carga de datos de ejemplo en Power BI")</f>
        <v>Carga de datos de ejemplo en Power BI</v>
      </c>
      <c r="G34" s="25"/>
      <c r="H34" s="26"/>
    </row>
    <row r="35" ht="15.75" customHeight="1"/>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61">
        <v>20.0</v>
      </c>
      <c r="E39" s="25"/>
      <c r="F39" s="25"/>
      <c r="G39" s="25"/>
      <c r="H39" s="26"/>
      <c r="I39" s="24" t="str">
        <f t="shared" ref="I39:I42" si="1">IF(D39&lt;=C39,"Correcto", "Corregir")</f>
        <v>Correcto</v>
      </c>
    </row>
    <row r="40" ht="15.75" customHeight="1">
      <c r="A40" s="24" t="s">
        <v>251</v>
      </c>
      <c r="B40" s="24" t="s">
        <v>248</v>
      </c>
      <c r="C40" s="24">
        <v>6.0</v>
      </c>
      <c r="D40" s="61">
        <v>5.0</v>
      </c>
      <c r="E40" s="25"/>
      <c r="F40" s="25"/>
      <c r="G40" s="25"/>
      <c r="H40" s="26"/>
      <c r="I40" s="24" t="str">
        <f t="shared" si="1"/>
        <v>Correcto</v>
      </c>
    </row>
    <row r="41" ht="15.75" customHeight="1">
      <c r="A41" s="24" t="s">
        <v>252</v>
      </c>
      <c r="B41" s="24" t="s">
        <v>253</v>
      </c>
      <c r="C41" s="24">
        <v>10.0</v>
      </c>
      <c r="D41" s="61">
        <v>0.0</v>
      </c>
      <c r="E41" s="25"/>
      <c r="F41" s="25"/>
      <c r="G41" s="25"/>
      <c r="H41" s="26"/>
      <c r="I41" s="24" t="str">
        <f t="shared" si="1"/>
        <v>Correcto</v>
      </c>
    </row>
    <row r="42" ht="15.75" customHeight="1">
      <c r="A42" s="24" t="s">
        <v>257</v>
      </c>
      <c r="B42" s="24" t="s">
        <v>248</v>
      </c>
      <c r="C42" s="24">
        <v>30.0</v>
      </c>
      <c r="D42" s="61">
        <v>25.0</v>
      </c>
      <c r="E42" s="25"/>
      <c r="F42" s="25"/>
      <c r="G42" s="25"/>
      <c r="H42" s="26"/>
      <c r="I42" s="24" t="str">
        <f t="shared" si="1"/>
        <v>Correcto</v>
      </c>
    </row>
    <row r="43" ht="15.75" customHeight="1"/>
    <row r="44" ht="15.75" customHeight="1">
      <c r="A44" s="103" t="s">
        <v>259</v>
      </c>
      <c r="G44" s="70" t="s">
        <v>40</v>
      </c>
      <c r="H44" s="104">
        <f>B50</f>
        <v>40</v>
      </c>
    </row>
    <row r="45" ht="15.75" customHeight="1">
      <c r="G45" s="49" t="s">
        <v>262</v>
      </c>
    </row>
    <row r="46" ht="15.75" customHeight="1">
      <c r="A46" s="49" t="s">
        <v>264</v>
      </c>
    </row>
    <row r="47">
      <c r="A47" s="55" t="s">
        <v>266</v>
      </c>
      <c r="B47" s="61" t="s">
        <v>242</v>
      </c>
      <c r="C47" s="25"/>
      <c r="D47" s="25"/>
      <c r="E47" s="25"/>
      <c r="F47" s="25"/>
      <c r="G47" s="25"/>
      <c r="H47" s="26"/>
    </row>
    <row r="48" ht="15.75" customHeight="1">
      <c r="A48" s="55" t="s">
        <v>11</v>
      </c>
      <c r="B48" s="23" t="s">
        <v>289</v>
      </c>
      <c r="C48" s="25"/>
      <c r="D48" s="25"/>
      <c r="E48" s="25"/>
      <c r="F48" s="25"/>
      <c r="G48" s="25"/>
      <c r="H48" s="26"/>
    </row>
    <row r="49" ht="15.75" customHeight="1">
      <c r="A49" s="55" t="s">
        <v>217</v>
      </c>
      <c r="B49" s="135">
        <v>0.0</v>
      </c>
      <c r="C49" s="25"/>
      <c r="D49" s="25"/>
      <c r="E49" s="25"/>
      <c r="F49" s="25"/>
      <c r="G49" s="25"/>
      <c r="H49" s="26"/>
    </row>
    <row r="50" ht="15.75" customHeight="1">
      <c r="A50" s="55" t="s">
        <v>40</v>
      </c>
      <c r="B50" s="61">
        <v>40.0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31"/>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23"/>
      <c r="C58" s="25"/>
      <c r="D58" s="25"/>
      <c r="E58" s="25"/>
      <c r="F58" s="25"/>
      <c r="G58" s="25"/>
      <c r="H58" s="26"/>
    </row>
    <row r="59" ht="15.75" customHeight="1">
      <c r="A59" s="55" t="s">
        <v>11</v>
      </c>
      <c r="B59" s="23"/>
      <c r="C59" s="25"/>
      <c r="D59" s="25"/>
      <c r="E59" s="25"/>
      <c r="F59" s="25"/>
      <c r="G59" s="25"/>
      <c r="H59" s="26"/>
    </row>
    <row r="60" ht="15.75" customHeight="1">
      <c r="A60" s="55" t="s">
        <v>217</v>
      </c>
      <c r="B60" s="135"/>
      <c r="C60" s="25"/>
      <c r="D60" s="25"/>
      <c r="E60" s="25"/>
      <c r="F60" s="25"/>
      <c r="G60" s="25"/>
      <c r="H60" s="26"/>
    </row>
    <row r="61" ht="15.75" customHeight="1">
      <c r="A61" s="55" t="s">
        <v>40</v>
      </c>
      <c r="B61" s="135"/>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31"/>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10</v>
      </c>
    </row>
    <row r="69" ht="15.75" customHeight="1">
      <c r="G69" s="49" t="s">
        <v>285</v>
      </c>
    </row>
    <row r="70" ht="15.75" customHeight="1">
      <c r="A70" s="55" t="s">
        <v>40</v>
      </c>
      <c r="B70" s="124">
        <v>10.0</v>
      </c>
      <c r="C70" s="25"/>
      <c r="D70" s="25"/>
      <c r="E70" s="25"/>
      <c r="F70" s="25"/>
      <c r="G70" s="25"/>
      <c r="H70" s="26"/>
    </row>
    <row r="71" ht="15.75" customHeight="1">
      <c r="A71" s="123" t="s">
        <v>286</v>
      </c>
      <c r="B71" s="25"/>
      <c r="C71" s="25"/>
      <c r="D71" s="25"/>
      <c r="E71" s="25"/>
      <c r="F71" s="25"/>
      <c r="G71" s="25"/>
      <c r="H71" s="26"/>
    </row>
    <row r="72" ht="15.75" customHeight="1">
      <c r="A72" s="126" t="s">
        <v>317</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10.0</v>
      </c>
      <c r="D5" s="25"/>
      <c r="E5" s="25"/>
      <c r="F5" s="25"/>
      <c r="G5" s="26"/>
    </row>
    <row r="6" ht="15.75" customHeight="1">
      <c r="B6" s="95" t="s">
        <v>26</v>
      </c>
      <c r="C6" s="23">
        <f>H10+H21+H44+H68</f>
        <v>100</v>
      </c>
      <c r="D6" s="25"/>
      <c r="E6" s="25"/>
      <c r="F6" s="25"/>
      <c r="G6" s="26"/>
      <c r="I6" s="10"/>
    </row>
    <row r="7" ht="15.75" customHeight="1">
      <c r="B7" s="95" t="s">
        <v>217</v>
      </c>
      <c r="C7" s="23">
        <f>B49+B60</f>
        <v>0</v>
      </c>
      <c r="D7" s="25"/>
      <c r="E7" s="25"/>
      <c r="F7" s="25"/>
      <c r="G7" s="26"/>
    </row>
    <row r="8" ht="15.75" customHeight="1">
      <c r="B8" s="95"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4</v>
      </c>
    </row>
    <row r="11" ht="15.75" customHeight="1">
      <c r="G11" s="49" t="s">
        <v>220</v>
      </c>
    </row>
    <row r="12" ht="15.75" customHeight="1">
      <c r="A12" s="50" t="s">
        <v>221</v>
      </c>
      <c r="B12" s="52" t="s">
        <v>329</v>
      </c>
      <c r="C12" s="25"/>
      <c r="D12" s="25"/>
      <c r="E12" s="25"/>
      <c r="F12" s="25"/>
      <c r="G12" s="25"/>
      <c r="H12" s="26"/>
    </row>
    <row r="13" ht="15.75" customHeight="1">
      <c r="A13" s="105" t="s">
        <v>40</v>
      </c>
      <c r="B13" s="68">
        <v>4.0</v>
      </c>
      <c r="C13" s="25"/>
      <c r="D13" s="25"/>
      <c r="E13" s="25"/>
      <c r="F13" s="25"/>
      <c r="G13" s="25"/>
      <c r="H13" s="26"/>
    </row>
    <row r="14" ht="15.75" customHeight="1">
      <c r="A14" s="107" t="s">
        <v>223</v>
      </c>
      <c r="B14" s="25"/>
      <c r="C14" s="25"/>
      <c r="D14" s="25"/>
      <c r="E14" s="25"/>
      <c r="F14" s="25"/>
      <c r="G14" s="25"/>
      <c r="H14" s="26"/>
    </row>
    <row r="15" ht="15.75" customHeight="1">
      <c r="A15" s="111" t="s">
        <v>330</v>
      </c>
      <c r="B15" s="97"/>
      <c r="C15" s="97"/>
      <c r="D15" s="97"/>
      <c r="E15" s="97"/>
      <c r="F15" s="97"/>
      <c r="G15" s="97"/>
      <c r="H15" s="98"/>
    </row>
    <row r="16" ht="15.75" customHeight="1">
      <c r="A16" s="99"/>
      <c r="B16" s="100"/>
      <c r="C16" s="100"/>
      <c r="D16" s="100"/>
      <c r="E16" s="100"/>
      <c r="F16" s="100"/>
      <c r="G16" s="100"/>
      <c r="H16" s="101"/>
    </row>
    <row r="17" ht="15.75" customHeight="1">
      <c r="A17" s="107" t="s">
        <v>225</v>
      </c>
      <c r="B17" s="25"/>
      <c r="C17" s="25"/>
      <c r="D17" s="25"/>
      <c r="E17" s="25"/>
      <c r="F17" s="25"/>
      <c r="G17" s="25"/>
      <c r="H17" s="26"/>
    </row>
    <row r="18" ht="54.75" customHeight="1">
      <c r="A18" s="111" t="s">
        <v>331</v>
      </c>
      <c r="B18" s="97"/>
      <c r="C18" s="97"/>
      <c r="D18" s="97"/>
      <c r="E18" s="97"/>
      <c r="F18" s="97"/>
      <c r="G18" s="97"/>
      <c r="H18" s="98"/>
    </row>
    <row r="19" ht="15.75" customHeight="1">
      <c r="A19" s="99"/>
      <c r="B19" s="100"/>
      <c r="C19" s="100"/>
      <c r="D19" s="100"/>
      <c r="E19" s="100"/>
      <c r="F19" s="100"/>
      <c r="G19" s="100"/>
      <c r="H19" s="101"/>
    </row>
    <row r="20" ht="15.75" customHeight="1"/>
    <row r="21" ht="15.75" customHeight="1">
      <c r="A21" s="103" t="s">
        <v>227</v>
      </c>
      <c r="G21" s="70" t="s">
        <v>40</v>
      </c>
      <c r="H21" s="104">
        <f>SUM(D39:H42)</f>
        <v>56</v>
      </c>
      <c r="I21" s="10"/>
    </row>
    <row r="22" ht="15.75" customHeight="1">
      <c r="G22" s="49" t="s">
        <v>230</v>
      </c>
    </row>
    <row r="23" ht="15.75" customHeight="1">
      <c r="A23" s="55" t="s">
        <v>231</v>
      </c>
      <c r="B23" s="61" t="s">
        <v>146</v>
      </c>
      <c r="C23" s="25"/>
      <c r="D23" s="25"/>
      <c r="E23" s="25"/>
      <c r="F23" s="25"/>
      <c r="G23" s="25"/>
      <c r="H23" s="26"/>
    </row>
    <row r="24" ht="15.75" customHeight="1">
      <c r="A24" s="55" t="s">
        <v>231</v>
      </c>
      <c r="B24" s="61" t="s">
        <v>162</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24">
        <v>1.0</v>
      </c>
      <c r="B28" s="23" t="str">
        <f>IFERROR(__xludf.DUMMYFUNCTION("FILTER('Diseño'!D:D,'Diseño'!H:H=$C$5)"),"3. Powe Bi")</f>
        <v>3. Powe Bi</v>
      </c>
      <c r="C28" s="26"/>
      <c r="D28" s="23" t="str">
        <f>IFERROR(__xludf.DUMMYFUNCTION("FILTER('Diseño'!E:E,'Diseño'!H:H=$C$5)"),"Power BI")</f>
        <v>Power BI</v>
      </c>
      <c r="E28" s="26"/>
      <c r="F28" s="23" t="str">
        <f>IFERROR(__xludf.DUMMYFUNCTION("FILTER('Diseño'!F:F,'Diseño'!H:H=$C$5)"),"Creación de gráficos y reportes")</f>
        <v>Creación de gráficos y reportes</v>
      </c>
      <c r="G28" s="25"/>
      <c r="H28" s="26"/>
    </row>
    <row r="29" ht="15.75" customHeight="1">
      <c r="A29" s="24">
        <v>2.0</v>
      </c>
      <c r="B29" s="23" t="str">
        <f>IFERROR(__xludf.DUMMYFUNCTION("""COMPUTED_VALUE"""),"3. Powe Bi")</f>
        <v>3. Powe Bi</v>
      </c>
      <c r="C29" s="26"/>
      <c r="D29" s="23" t="str">
        <f>IFERROR(__xludf.DUMMYFUNCTION("""COMPUTED_VALUE"""),"Power BI")</f>
        <v>Power BI</v>
      </c>
      <c r="E29" s="26"/>
      <c r="F29" s="23" t="str">
        <f>IFERROR(__xludf.DUMMYFUNCTION("""COMPUTED_VALUE"""),"Elaboración de gráficos básicos")</f>
        <v>Elaboración de gráficos básicos</v>
      </c>
      <c r="G29" s="25"/>
      <c r="H29" s="26"/>
    </row>
    <row r="30" ht="15.75" customHeight="1">
      <c r="A30" s="24">
        <v>3.0</v>
      </c>
      <c r="B30" s="23" t="str">
        <f>IFERROR(__xludf.DUMMYFUNCTION("""COMPUTED_VALUE"""),"3. Powe Bi")</f>
        <v>3. Powe Bi</v>
      </c>
      <c r="C30" s="26"/>
      <c r="D30" s="23" t="str">
        <f>IFERROR(__xludf.DUMMYFUNCTION("""COMPUTED_VALUE"""),"Power BI")</f>
        <v>Power BI</v>
      </c>
      <c r="E30" s="26"/>
      <c r="F30" s="23" t="str">
        <f>IFERROR(__xludf.DUMMYFUNCTION("""COMPUTED_VALUE"""),"Barras, líneas, áreas y circulares.")</f>
        <v>Barras, líneas, áreas y circulares.</v>
      </c>
      <c r="G30" s="25"/>
      <c r="H30" s="26"/>
    </row>
    <row r="31" ht="15.75" customHeight="1">
      <c r="A31" s="24">
        <v>4.0</v>
      </c>
      <c r="B31" s="23" t="str">
        <f>IFERROR(__xludf.DUMMYFUNCTION("""COMPUTED_VALUE"""),"3. Powe Bi")</f>
        <v>3. Powe Bi</v>
      </c>
      <c r="C31" s="26"/>
      <c r="D31" s="23" t="str">
        <f>IFERROR(__xludf.DUMMYFUNCTION("""COMPUTED_VALUE"""),"Power BI")</f>
        <v>Power BI</v>
      </c>
      <c r="E31" s="26"/>
      <c r="F31" s="23" t="str">
        <f>IFERROR(__xludf.DUMMYFUNCTION("""COMPUTED_VALUE"""),"Personalización: colores, etiquetas y leyendas.")</f>
        <v>Personalización: colores, etiquetas y leyendas.</v>
      </c>
      <c r="G31" s="25"/>
      <c r="H31" s="26"/>
    </row>
    <row r="32" ht="15.75" customHeight="1">
      <c r="A32" s="24">
        <v>5.0</v>
      </c>
      <c r="B32" s="23" t="str">
        <f>IFERROR(__xludf.DUMMYFUNCTION("""COMPUTED_VALUE"""),"3. Powe Bi")</f>
        <v>3. Powe Bi</v>
      </c>
      <c r="C32" s="26"/>
      <c r="D32" s="23" t="str">
        <f>IFERROR(__xludf.DUMMYFUNCTION("""COMPUTED_VALUE"""),"Power BI")</f>
        <v>Power BI</v>
      </c>
      <c r="E32" s="26"/>
      <c r="F32" s="23" t="str">
        <f>IFERROR(__xludf.DUMMYFUNCTION("""COMPUTED_VALUE"""),"Gráficos avanzados")</f>
        <v>Gráficos avanzados</v>
      </c>
      <c r="G32" s="25"/>
      <c r="H32" s="26"/>
    </row>
    <row r="33" ht="15.75" customHeight="1">
      <c r="A33" s="24">
        <v>6.0</v>
      </c>
      <c r="B33" s="23" t="str">
        <f>IFERROR(__xludf.DUMMYFUNCTION("""COMPUTED_VALUE"""),"3. Powe Bi")</f>
        <v>3. Powe Bi</v>
      </c>
      <c r="C33" s="26"/>
      <c r="D33" s="23" t="str">
        <f>IFERROR(__xludf.DUMMYFUNCTION("""COMPUTED_VALUE"""),"Power BI")</f>
        <v>Power BI</v>
      </c>
      <c r="E33" s="26"/>
      <c r="F33" s="23" t="str">
        <f>IFERROR(__xludf.DUMMYFUNCTION("""COMPUTED_VALUE"""),"Slicers, tarjetas de KPIs y combinaciones de gráficos.")</f>
        <v>Slicers, tarjetas de KPIs y combinaciones de gráficos.</v>
      </c>
      <c r="G33" s="25"/>
      <c r="H33" s="26"/>
    </row>
    <row r="34" ht="15.75" customHeight="1">
      <c r="A34" s="24">
        <v>7.0</v>
      </c>
      <c r="B34" s="23" t="str">
        <f>IFERROR(__xludf.DUMMYFUNCTION("""COMPUTED_VALUE"""),"3. Powe Bi")</f>
        <v>3. Powe Bi</v>
      </c>
      <c r="C34" s="26"/>
      <c r="D34" s="23" t="str">
        <f>IFERROR(__xludf.DUMMYFUNCTION("""COMPUTED_VALUE"""),"Power BI")</f>
        <v>Power BI</v>
      </c>
      <c r="E34" s="26"/>
      <c r="F34" s="23" t="str">
        <f>IFERROR(__xludf.DUMMYFUNCTION("""COMPUTED_VALUE"""),"Uso de visualizaciones del marketplace.")</f>
        <v>Uso de visualizaciones del marketplace.</v>
      </c>
      <c r="G34" s="25"/>
      <c r="H34" s="26"/>
    </row>
    <row r="35" ht="15.75" customHeight="1"/>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61">
        <v>30.0</v>
      </c>
      <c r="E39" s="25"/>
      <c r="F39" s="25"/>
      <c r="G39" s="25"/>
      <c r="H39" s="26"/>
      <c r="I39" s="24" t="str">
        <f t="shared" ref="I39:I42" si="1">IF(D39&lt;=C39,"Correcto", "Corregir")</f>
        <v>Correcto</v>
      </c>
    </row>
    <row r="40" ht="15.75" customHeight="1">
      <c r="A40" s="24" t="s">
        <v>251</v>
      </c>
      <c r="B40" s="24" t="s">
        <v>248</v>
      </c>
      <c r="C40" s="24">
        <v>6.0</v>
      </c>
      <c r="D40" s="61">
        <v>6.0</v>
      </c>
      <c r="E40" s="25"/>
      <c r="F40" s="25"/>
      <c r="G40" s="25"/>
      <c r="H40" s="26"/>
      <c r="I40" s="24" t="str">
        <f t="shared" si="1"/>
        <v>Correcto</v>
      </c>
    </row>
    <row r="41" ht="15.75" customHeight="1">
      <c r="A41" s="24" t="s">
        <v>252</v>
      </c>
      <c r="B41" s="24" t="s">
        <v>253</v>
      </c>
      <c r="C41" s="24">
        <v>10.0</v>
      </c>
      <c r="D41" s="61">
        <v>0.0</v>
      </c>
      <c r="E41" s="25"/>
      <c r="F41" s="25"/>
      <c r="G41" s="25"/>
      <c r="H41" s="26"/>
      <c r="I41" s="24" t="str">
        <f t="shared" si="1"/>
        <v>Correcto</v>
      </c>
    </row>
    <row r="42" ht="15.75" customHeight="1">
      <c r="A42" s="24" t="s">
        <v>257</v>
      </c>
      <c r="B42" s="24" t="s">
        <v>248</v>
      </c>
      <c r="C42" s="24">
        <v>30.0</v>
      </c>
      <c r="D42" s="61">
        <v>20.0</v>
      </c>
      <c r="E42" s="25"/>
      <c r="F42" s="25"/>
      <c r="G42" s="25"/>
      <c r="H42" s="26"/>
      <c r="I42" s="24" t="str">
        <f t="shared" si="1"/>
        <v>Correcto</v>
      </c>
    </row>
    <row r="43" ht="15.75" customHeight="1"/>
    <row r="44" ht="15.75" customHeight="1">
      <c r="A44" s="103" t="s">
        <v>259</v>
      </c>
      <c r="G44" s="70" t="s">
        <v>40</v>
      </c>
      <c r="H44" s="104">
        <f>B50</f>
        <v>30</v>
      </c>
    </row>
    <row r="45" ht="15.75" customHeight="1">
      <c r="G45" s="49" t="s">
        <v>262</v>
      </c>
    </row>
    <row r="46" ht="15.75" customHeight="1">
      <c r="A46" s="49" t="s">
        <v>264</v>
      </c>
    </row>
    <row r="47">
      <c r="A47" s="55" t="s">
        <v>266</v>
      </c>
      <c r="B47" s="61" t="s">
        <v>162</v>
      </c>
      <c r="C47" s="25"/>
      <c r="D47" s="25"/>
      <c r="E47" s="25"/>
      <c r="F47" s="25"/>
      <c r="G47" s="25"/>
      <c r="H47" s="26"/>
    </row>
    <row r="48" ht="15.75" customHeight="1">
      <c r="A48" s="55" t="s">
        <v>11</v>
      </c>
      <c r="B48" s="61" t="s">
        <v>282</v>
      </c>
      <c r="C48" s="25"/>
      <c r="D48" s="25"/>
      <c r="E48" s="25"/>
      <c r="F48" s="25"/>
      <c r="G48" s="25"/>
      <c r="H48" s="26"/>
    </row>
    <row r="49" ht="15.75" customHeight="1">
      <c r="A49" s="55" t="s">
        <v>217</v>
      </c>
      <c r="B49" s="135">
        <v>0.0</v>
      </c>
      <c r="C49" s="25"/>
      <c r="D49" s="25"/>
      <c r="E49" s="25"/>
      <c r="F49" s="25"/>
      <c r="G49" s="25"/>
      <c r="H49" s="26"/>
    </row>
    <row r="50" ht="15.75" customHeight="1">
      <c r="A50" s="55" t="s">
        <v>40</v>
      </c>
      <c r="B50" s="61">
        <v>30.0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11" t="s">
        <v>332</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23"/>
      <c r="C58" s="25"/>
      <c r="D58" s="25"/>
      <c r="E58" s="25"/>
      <c r="F58" s="25"/>
      <c r="G58" s="25"/>
      <c r="H58" s="26"/>
    </row>
    <row r="59" ht="15.75" customHeight="1">
      <c r="A59" s="55" t="s">
        <v>11</v>
      </c>
      <c r="B59" s="23"/>
      <c r="C59" s="25"/>
      <c r="D59" s="25"/>
      <c r="E59" s="25"/>
      <c r="F59" s="25"/>
      <c r="G59" s="25"/>
      <c r="H59" s="26"/>
    </row>
    <row r="60" ht="15.75" customHeight="1">
      <c r="A60" s="55" t="s">
        <v>217</v>
      </c>
      <c r="B60" s="135"/>
      <c r="C60" s="25"/>
      <c r="D60" s="25"/>
      <c r="E60" s="25"/>
      <c r="F60" s="25"/>
      <c r="G60" s="25"/>
      <c r="H60" s="26"/>
    </row>
    <row r="61" ht="15.75" customHeight="1">
      <c r="A61" s="55" t="s">
        <v>40</v>
      </c>
      <c r="B61" s="135"/>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31"/>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10</v>
      </c>
    </row>
    <row r="69" ht="15.75" customHeight="1">
      <c r="G69" s="49" t="s">
        <v>285</v>
      </c>
    </row>
    <row r="70" ht="15.75" customHeight="1">
      <c r="A70" s="55" t="s">
        <v>40</v>
      </c>
      <c r="B70" s="124">
        <v>10.0</v>
      </c>
      <c r="C70" s="25"/>
      <c r="D70" s="25"/>
      <c r="E70" s="25"/>
      <c r="F70" s="25"/>
      <c r="G70" s="25"/>
      <c r="H70" s="26"/>
    </row>
    <row r="71" ht="15.75" customHeight="1">
      <c r="A71" s="123" t="s">
        <v>286</v>
      </c>
      <c r="B71" s="25"/>
      <c r="C71" s="25"/>
      <c r="D71" s="25"/>
      <c r="E71" s="25"/>
      <c r="F71" s="25"/>
      <c r="G71" s="25"/>
      <c r="H71" s="26"/>
    </row>
    <row r="72" ht="15.75" customHeight="1">
      <c r="A72" s="126" t="s">
        <v>317</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2" t="s">
        <v>213</v>
      </c>
    </row>
    <row r="3" ht="15.75" customHeight="1"/>
    <row r="4" ht="15.75" customHeight="1">
      <c r="B4" s="12" t="s">
        <v>1</v>
      </c>
      <c r="C4" s="93" t="str">
        <f>'Diseño'!C4</f>
        <v>667 - Programacion Comercial 1</v>
      </c>
      <c r="D4" s="25"/>
      <c r="E4" s="25"/>
      <c r="F4" s="25"/>
      <c r="G4" s="26"/>
    </row>
    <row r="5" ht="15.75" customHeight="1">
      <c r="B5" s="24" t="s">
        <v>23</v>
      </c>
      <c r="C5" s="23">
        <v>11.0</v>
      </c>
      <c r="D5" s="25"/>
      <c r="E5" s="25"/>
      <c r="F5" s="25"/>
      <c r="G5" s="26"/>
    </row>
    <row r="6" ht="15.75" customHeight="1">
      <c r="B6" s="95" t="s">
        <v>26</v>
      </c>
      <c r="C6" s="23">
        <f>H10+H21+H44+H68</f>
        <v>104</v>
      </c>
      <c r="D6" s="25"/>
      <c r="E6" s="25"/>
      <c r="F6" s="25"/>
      <c r="G6" s="26"/>
      <c r="I6" s="10"/>
    </row>
    <row r="7" ht="15.75" customHeight="1">
      <c r="B7" s="95" t="s">
        <v>217</v>
      </c>
      <c r="C7" s="23">
        <f>B49+B60</f>
        <v>10</v>
      </c>
      <c r="D7" s="25"/>
      <c r="E7" s="25"/>
      <c r="F7" s="25"/>
      <c r="G7" s="26"/>
    </row>
    <row r="8" ht="15.75" customHeight="1">
      <c r="B8" s="95" t="s">
        <v>218</v>
      </c>
      <c r="C8" s="102" t="str">
        <f>IF(H44&lt;=0, "❌ ERROR: La Actividad 1 debe tener un tiempo mayor a 0.", IF(H21&gt;60, "❌ ERROR: El 'Área de Conocimiento' no puede exceder los 60 min.", IF((H10+H21+H44+H68)&lt;100, "❌ ERROR: El tiempo total debe ser de al menos 100 min.", "✅ VALIDACIÓN CORRECTA")))</f>
        <v>✅ VALIDACIÓN CORRECTA</v>
      </c>
      <c r="D8" s="25"/>
      <c r="E8" s="25"/>
      <c r="F8" s="25"/>
      <c r="G8" s="26"/>
      <c r="I8" s="10"/>
      <c r="J8" s="10"/>
      <c r="K8" s="10"/>
    </row>
    <row r="9" ht="15.75" customHeight="1"/>
    <row r="10" ht="15.75" customHeight="1">
      <c r="A10" s="103" t="s">
        <v>219</v>
      </c>
      <c r="G10" s="70" t="s">
        <v>40</v>
      </c>
      <c r="H10" s="104">
        <f>B13</f>
        <v>4</v>
      </c>
    </row>
    <row r="11" ht="15.75" customHeight="1">
      <c r="G11" s="49" t="s">
        <v>220</v>
      </c>
    </row>
    <row r="12" ht="15.75" customHeight="1">
      <c r="A12" s="55" t="s">
        <v>221</v>
      </c>
      <c r="B12" s="61" t="s">
        <v>333</v>
      </c>
      <c r="C12" s="25"/>
      <c r="D12" s="25"/>
      <c r="E12" s="25"/>
      <c r="F12" s="25"/>
      <c r="G12" s="25"/>
      <c r="H12" s="26"/>
    </row>
    <row r="13" ht="15.75" customHeight="1">
      <c r="A13" s="59" t="s">
        <v>40</v>
      </c>
      <c r="B13" s="61">
        <v>4.0</v>
      </c>
      <c r="C13" s="25"/>
      <c r="D13" s="25"/>
      <c r="E13" s="25"/>
      <c r="F13" s="25"/>
      <c r="G13" s="25"/>
      <c r="H13" s="26"/>
    </row>
    <row r="14" ht="15.75" customHeight="1">
      <c r="A14" s="110" t="s">
        <v>223</v>
      </c>
      <c r="B14" s="25"/>
      <c r="C14" s="25"/>
      <c r="D14" s="25"/>
      <c r="E14" s="25"/>
      <c r="F14" s="25"/>
      <c r="G14" s="25"/>
      <c r="H14" s="26"/>
    </row>
    <row r="15" ht="15.75" customHeight="1">
      <c r="A15" s="126" t="s">
        <v>334</v>
      </c>
      <c r="B15" s="97"/>
      <c r="C15" s="97"/>
      <c r="D15" s="97"/>
      <c r="E15" s="97"/>
      <c r="F15" s="97"/>
      <c r="G15" s="97"/>
      <c r="H15" s="98"/>
    </row>
    <row r="16" ht="15.75" customHeight="1">
      <c r="A16" s="99"/>
      <c r="B16" s="100"/>
      <c r="C16" s="100"/>
      <c r="D16" s="100"/>
      <c r="E16" s="100"/>
      <c r="F16" s="100"/>
      <c r="G16" s="100"/>
      <c r="H16" s="101"/>
    </row>
    <row r="17" ht="15.75" customHeight="1">
      <c r="A17" s="110" t="s">
        <v>225</v>
      </c>
      <c r="B17" s="25"/>
      <c r="C17" s="25"/>
      <c r="D17" s="25"/>
      <c r="E17" s="25"/>
      <c r="F17" s="25"/>
      <c r="G17" s="25"/>
      <c r="H17" s="26"/>
    </row>
    <row r="18" ht="15.75" customHeight="1">
      <c r="A18" s="126" t="s">
        <v>335</v>
      </c>
      <c r="B18" s="97"/>
      <c r="C18" s="97"/>
      <c r="D18" s="97"/>
      <c r="E18" s="97"/>
      <c r="F18" s="97"/>
      <c r="G18" s="97"/>
      <c r="H18" s="98"/>
    </row>
    <row r="19" ht="27.0" customHeight="1">
      <c r="A19" s="99"/>
      <c r="B19" s="100"/>
      <c r="C19" s="100"/>
      <c r="D19" s="100"/>
      <c r="E19" s="100"/>
      <c r="F19" s="100"/>
      <c r="G19" s="100"/>
      <c r="H19" s="101"/>
    </row>
    <row r="20" ht="15.75" customHeight="1"/>
    <row r="21" ht="15.75" customHeight="1">
      <c r="A21" s="103" t="s">
        <v>227</v>
      </c>
      <c r="G21" s="70" t="s">
        <v>40</v>
      </c>
      <c r="H21" s="104">
        <f>SUM(D39:H42)</f>
        <v>60</v>
      </c>
      <c r="I21" s="10"/>
    </row>
    <row r="22" ht="15.75" customHeight="1">
      <c r="G22" s="49" t="s">
        <v>230</v>
      </c>
    </row>
    <row r="23" ht="15.75" customHeight="1">
      <c r="A23" s="55" t="s">
        <v>231</v>
      </c>
      <c r="B23" s="61" t="s">
        <v>162</v>
      </c>
      <c r="C23" s="25"/>
      <c r="D23" s="25"/>
      <c r="E23" s="25"/>
      <c r="F23" s="25"/>
      <c r="G23" s="25"/>
      <c r="H23" s="26"/>
    </row>
    <row r="24" ht="15.75" customHeight="1">
      <c r="A24" s="55" t="s">
        <v>231</v>
      </c>
      <c r="B24" s="61" t="s">
        <v>323</v>
      </c>
      <c r="C24" s="25"/>
      <c r="D24" s="25"/>
      <c r="E24" s="25"/>
      <c r="F24" s="25"/>
      <c r="G24" s="25"/>
      <c r="H24" s="26"/>
    </row>
    <row r="25" ht="15.75" customHeight="1"/>
    <row r="26" ht="15.75" customHeight="1">
      <c r="A26" s="113" t="s">
        <v>234</v>
      </c>
      <c r="B26" s="10"/>
      <c r="C26" s="10"/>
      <c r="D26" s="10"/>
    </row>
    <row r="27" ht="15.75" customHeight="1">
      <c r="A27" s="116" t="s">
        <v>15</v>
      </c>
      <c r="B27" s="117" t="s">
        <v>236</v>
      </c>
      <c r="C27" s="26"/>
      <c r="D27" s="117" t="s">
        <v>237</v>
      </c>
      <c r="E27" s="26"/>
      <c r="F27" s="117" t="s">
        <v>238</v>
      </c>
      <c r="G27" s="25"/>
      <c r="H27" s="26"/>
    </row>
    <row r="28" ht="15.75" customHeight="1">
      <c r="A28" s="24">
        <v>1.0</v>
      </c>
      <c r="B28" s="23" t="str">
        <f>IFERROR(__xludf.DUMMYFUNCTION("FILTER('Diseño'!D:D,'Diseño'!H:H=$C$5)"),"3. Powe Bi")</f>
        <v>3. Powe Bi</v>
      </c>
      <c r="C28" s="26"/>
      <c r="D28" s="23" t="str">
        <f>IFERROR(__xludf.DUMMYFUNCTION("FILTER('Diseño'!E:E,'Diseño'!H:H=$C$5)"),"Power BI")</f>
        <v>Power BI</v>
      </c>
      <c r="E28" s="26"/>
      <c r="F28" s="23" t="str">
        <f>IFERROR(__xludf.DUMMYFUNCTION("FILTER('Diseño'!F:F,'Diseño'!H:H=$C$5)"),"Interacción entre visualizaciones")</f>
        <v>Interacción entre visualizaciones</v>
      </c>
      <c r="G28" s="25"/>
      <c r="H28" s="26"/>
    </row>
    <row r="29" ht="15.75" customHeight="1">
      <c r="A29" s="24">
        <v>2.0</v>
      </c>
      <c r="B29" s="23" t="str">
        <f>IFERROR(__xludf.DUMMYFUNCTION("""COMPUTED_VALUE"""),"3. Powe Bi")</f>
        <v>3. Powe Bi</v>
      </c>
      <c r="C29" s="26"/>
      <c r="D29" s="23" t="str">
        <f>IFERROR(__xludf.DUMMYFUNCTION("""COMPUTED_VALUE"""),"Power BI")</f>
        <v>Power BI</v>
      </c>
      <c r="E29" s="26"/>
      <c r="F29" s="23" t="str">
        <f>IFERROR(__xludf.DUMMYFUNCTION("""COMPUTED_VALUE"""),"Uso de filtros y segmentadores")</f>
        <v>Uso de filtros y segmentadores</v>
      </c>
      <c r="G29" s="25"/>
      <c r="H29" s="26"/>
    </row>
    <row r="30" ht="15.75" customHeight="1">
      <c r="A30" s="24">
        <v>3.0</v>
      </c>
      <c r="B30" s="23" t="str">
        <f>IFERROR(__xludf.DUMMYFUNCTION("""COMPUTED_VALUE"""),"3. Powe Bi")</f>
        <v>3. Powe Bi</v>
      </c>
      <c r="C30" s="26"/>
      <c r="D30" s="23" t="str">
        <f>IFERROR(__xludf.DUMMYFUNCTION("""COMPUTED_VALUE"""),"Power BI")</f>
        <v>Power BI</v>
      </c>
      <c r="E30" s="26"/>
      <c r="F30" s="23" t="str">
        <f>IFERROR(__xludf.DUMMYFUNCTION("""COMPUTED_VALUE"""),"Jerarquías y drill down")</f>
        <v>Jerarquías y drill down</v>
      </c>
      <c r="G30" s="25"/>
      <c r="H30" s="26"/>
    </row>
    <row r="31" ht="15.75" customHeight="1">
      <c r="A31" s="24">
        <v>4.0</v>
      </c>
      <c r="B31" s="23" t="str">
        <f>IFERROR(__xludf.DUMMYFUNCTION("""COMPUTED_VALUE"""),"3. Powe Bi")</f>
        <v>3. Powe Bi</v>
      </c>
      <c r="C31" s="26"/>
      <c r="D31" s="23" t="str">
        <f>IFERROR(__xludf.DUMMYFUNCTION("""COMPUTED_VALUE"""),"Power BI")</f>
        <v>Power BI</v>
      </c>
      <c r="E31" s="26"/>
      <c r="F31" s="23" t="str">
        <f>IFERROR(__xludf.DUMMYFUNCTION("""COMPUTED_VALUE"""),"Panel de filtros a nivel visual, página y reporte")</f>
        <v>Panel de filtros a nivel visual, página y reporte</v>
      </c>
      <c r="G31" s="25"/>
      <c r="H31" s="26"/>
    </row>
    <row r="32" ht="15.75" customHeight="1">
      <c r="A32" s="24">
        <v>5.0</v>
      </c>
      <c r="B32" s="23" t="str">
        <f>IFERROR(__xludf.DUMMYFUNCTION("""COMPUTED_VALUE"""),"3. Powe Bi")</f>
        <v>3. Powe Bi</v>
      </c>
      <c r="C32" s="26"/>
      <c r="D32" s="23" t="str">
        <f>IFERROR(__xludf.DUMMYFUNCTION("""COMPUTED_VALUE"""),"Power BI")</f>
        <v>Power BI</v>
      </c>
      <c r="E32" s="26"/>
      <c r="F32" s="23" t="str">
        <f>IFERROR(__xludf.DUMMYFUNCTION("""COMPUTED_VALUE"""),"Botones, marcadores y navegación")</f>
        <v>Botones, marcadores y navegación</v>
      </c>
      <c r="G32" s="25"/>
      <c r="H32" s="26"/>
    </row>
    <row r="33" ht="15.75" customHeight="1">
      <c r="A33" s="24">
        <v>6.0</v>
      </c>
      <c r="B33" s="23" t="str">
        <f>IFERROR(__xludf.DUMMYFUNCTION("""COMPUTED_VALUE"""),"3. Powe Bi")</f>
        <v>3. Powe Bi</v>
      </c>
      <c r="C33" s="26"/>
      <c r="D33" s="23" t="str">
        <f>IFERROR(__xludf.DUMMYFUNCTION("""COMPUTED_VALUE"""),"Power BI")</f>
        <v>Power BI</v>
      </c>
      <c r="E33" s="26"/>
      <c r="F33" s="23" t="str">
        <f>IFERROR(__xludf.DUMMYFUNCTION("""COMPUTED_VALUE"""),"Publicación en Power BI Service")</f>
        <v>Publicación en Power BI Service</v>
      </c>
      <c r="G33" s="25"/>
      <c r="H33" s="26"/>
    </row>
    <row r="34" ht="15.75" customHeight="1">
      <c r="A34" s="24">
        <v>7.0</v>
      </c>
      <c r="B34" s="23" t="str">
        <f>IFERROR(__xludf.DUMMYFUNCTION("""COMPUTED_VALUE"""),"3. Powe Bi")</f>
        <v>3. Powe Bi</v>
      </c>
      <c r="C34" s="26"/>
      <c r="D34" s="23" t="str">
        <f>IFERROR(__xludf.DUMMYFUNCTION("""COMPUTED_VALUE"""),"Power BI")</f>
        <v>Power BI</v>
      </c>
      <c r="E34" s="26"/>
      <c r="F34" s="23" t="str">
        <f>IFERROR(__xludf.DUMMYFUNCTION("""COMPUTED_VALUE"""),"Compartir dashboards y actualización básica")</f>
        <v>Compartir dashboards y actualización básica</v>
      </c>
      <c r="G34" s="25"/>
      <c r="H34" s="26"/>
    </row>
    <row r="35" ht="15.75" customHeight="1"/>
    <row r="36" ht="15.75" customHeight="1">
      <c r="A36" s="113" t="s">
        <v>244</v>
      </c>
    </row>
    <row r="37" ht="15.75" customHeight="1">
      <c r="A37" s="10"/>
      <c r="B37" s="10"/>
      <c r="C37" s="10"/>
      <c r="D37" s="10"/>
      <c r="E37" s="10"/>
      <c r="F37" s="10"/>
      <c r="G37" s="10"/>
      <c r="H37" s="10"/>
    </row>
    <row r="38">
      <c r="A38" s="116" t="s">
        <v>245</v>
      </c>
      <c r="B38" s="116" t="s">
        <v>118</v>
      </c>
      <c r="C38" s="122" t="s">
        <v>268</v>
      </c>
      <c r="D38" s="123" t="s">
        <v>270</v>
      </c>
      <c r="E38" s="25"/>
      <c r="F38" s="25"/>
      <c r="G38" s="25"/>
      <c r="H38" s="26"/>
      <c r="I38" s="120" t="s">
        <v>85</v>
      </c>
    </row>
    <row r="39" ht="15.75" customHeight="1">
      <c r="A39" s="24" t="s">
        <v>247</v>
      </c>
      <c r="B39" s="24" t="s">
        <v>248</v>
      </c>
      <c r="C39" s="24">
        <v>30.0</v>
      </c>
      <c r="D39" s="61">
        <v>30.0</v>
      </c>
      <c r="E39" s="25"/>
      <c r="F39" s="25"/>
      <c r="G39" s="25"/>
      <c r="H39" s="26"/>
      <c r="I39" s="24" t="str">
        <f t="shared" ref="I39:I42" si="1">IF(D39&lt;=C39,"Correcto", "Corregir")</f>
        <v>Correcto</v>
      </c>
    </row>
    <row r="40" ht="15.75" customHeight="1">
      <c r="A40" s="24" t="s">
        <v>251</v>
      </c>
      <c r="B40" s="24" t="s">
        <v>248</v>
      </c>
      <c r="C40" s="24">
        <v>6.0</v>
      </c>
      <c r="D40" s="61">
        <v>5.0</v>
      </c>
      <c r="E40" s="25"/>
      <c r="F40" s="25"/>
      <c r="G40" s="25"/>
      <c r="H40" s="26"/>
      <c r="I40" s="24" t="str">
        <f t="shared" si="1"/>
        <v>Correcto</v>
      </c>
    </row>
    <row r="41" ht="15.75" customHeight="1">
      <c r="A41" s="24" t="s">
        <v>252</v>
      </c>
      <c r="B41" s="24" t="s">
        <v>253</v>
      </c>
      <c r="C41" s="24">
        <v>10.0</v>
      </c>
      <c r="D41" s="61">
        <v>0.0</v>
      </c>
      <c r="E41" s="25"/>
      <c r="F41" s="25"/>
      <c r="G41" s="25"/>
      <c r="H41" s="26"/>
      <c r="I41" s="24" t="str">
        <f t="shared" si="1"/>
        <v>Correcto</v>
      </c>
    </row>
    <row r="42" ht="15.75" customHeight="1">
      <c r="A42" s="24" t="s">
        <v>257</v>
      </c>
      <c r="B42" s="24" t="s">
        <v>248</v>
      </c>
      <c r="C42" s="24">
        <v>30.0</v>
      </c>
      <c r="D42" s="61">
        <v>25.0</v>
      </c>
      <c r="E42" s="25"/>
      <c r="F42" s="25"/>
      <c r="G42" s="25"/>
      <c r="H42" s="26"/>
      <c r="I42" s="24" t="str">
        <f t="shared" si="1"/>
        <v>Correcto</v>
      </c>
    </row>
    <row r="43" ht="15.75" customHeight="1"/>
    <row r="44" ht="15.75" customHeight="1">
      <c r="A44" s="103" t="s">
        <v>259</v>
      </c>
      <c r="G44" s="70" t="s">
        <v>40</v>
      </c>
      <c r="H44" s="104">
        <f>B50</f>
        <v>30</v>
      </c>
    </row>
    <row r="45" ht="15.75" customHeight="1">
      <c r="G45" s="49" t="s">
        <v>262</v>
      </c>
    </row>
    <row r="46" ht="15.75" customHeight="1">
      <c r="A46" s="49" t="s">
        <v>264</v>
      </c>
    </row>
    <row r="47">
      <c r="A47" s="55" t="s">
        <v>266</v>
      </c>
      <c r="B47" s="61" t="s">
        <v>162</v>
      </c>
      <c r="C47" s="25"/>
      <c r="D47" s="25"/>
      <c r="E47" s="25"/>
      <c r="F47" s="25"/>
      <c r="G47" s="25"/>
      <c r="H47" s="26"/>
    </row>
    <row r="48" ht="15.75" customHeight="1">
      <c r="A48" s="55" t="s">
        <v>11</v>
      </c>
      <c r="B48" s="61" t="s">
        <v>282</v>
      </c>
      <c r="C48" s="25"/>
      <c r="D48" s="25"/>
      <c r="E48" s="25"/>
      <c r="F48" s="25"/>
      <c r="G48" s="25"/>
      <c r="H48" s="26"/>
    </row>
    <row r="49" ht="15.75" customHeight="1">
      <c r="A49" s="55" t="s">
        <v>217</v>
      </c>
      <c r="B49" s="124">
        <v>10.0</v>
      </c>
      <c r="C49" s="25"/>
      <c r="D49" s="25"/>
      <c r="E49" s="25"/>
      <c r="F49" s="25"/>
      <c r="G49" s="25"/>
      <c r="H49" s="26"/>
    </row>
    <row r="50" ht="15.75" customHeight="1">
      <c r="A50" s="55" t="s">
        <v>40</v>
      </c>
      <c r="B50" s="61">
        <v>30.0</v>
      </c>
      <c r="C50" s="25"/>
      <c r="D50" s="25"/>
      <c r="E50" s="25"/>
      <c r="F50" s="25"/>
      <c r="G50" s="25"/>
      <c r="H50" s="26"/>
    </row>
    <row r="51" ht="15.75" customHeight="1">
      <c r="A51" s="125" t="s">
        <v>276</v>
      </c>
      <c r="B51" s="10"/>
      <c r="C51" s="10"/>
      <c r="D51" s="10"/>
      <c r="E51" s="10"/>
      <c r="F51" s="10"/>
      <c r="G51" s="10"/>
      <c r="H51" s="10"/>
    </row>
    <row r="52" ht="15.75" customHeight="1">
      <c r="A52" s="110" t="s">
        <v>277</v>
      </c>
      <c r="B52" s="25"/>
      <c r="C52" s="25"/>
      <c r="D52" s="25"/>
      <c r="E52" s="25"/>
      <c r="F52" s="25"/>
      <c r="G52" s="25"/>
      <c r="H52" s="26"/>
    </row>
    <row r="53" ht="15.75" customHeight="1">
      <c r="A53" s="112" t="s">
        <v>346</v>
      </c>
      <c r="B53" s="97"/>
      <c r="C53" s="97"/>
      <c r="D53" s="97"/>
      <c r="E53" s="97"/>
      <c r="F53" s="97"/>
      <c r="G53" s="97"/>
      <c r="H53" s="98"/>
    </row>
    <row r="54" ht="15.75" customHeight="1">
      <c r="A54" s="127"/>
      <c r="H54" s="128"/>
    </row>
    <row r="55" ht="15.75" customHeight="1">
      <c r="A55" s="99"/>
      <c r="B55" s="100"/>
      <c r="C55" s="100"/>
      <c r="D55" s="100"/>
      <c r="E55" s="100"/>
      <c r="F55" s="100"/>
      <c r="G55" s="100"/>
      <c r="H55" s="101"/>
    </row>
    <row r="56" ht="15.75" customHeight="1"/>
    <row r="57" ht="15.75" customHeight="1">
      <c r="A57" s="49" t="s">
        <v>279</v>
      </c>
    </row>
    <row r="58">
      <c r="A58" s="55" t="s">
        <v>266</v>
      </c>
      <c r="B58" s="23"/>
      <c r="C58" s="25"/>
      <c r="D58" s="25"/>
      <c r="E58" s="25"/>
      <c r="F58" s="25"/>
      <c r="G58" s="25"/>
      <c r="H58" s="26"/>
    </row>
    <row r="59" ht="15.75" customHeight="1">
      <c r="A59" s="55" t="s">
        <v>11</v>
      </c>
      <c r="B59" s="23"/>
      <c r="C59" s="25"/>
      <c r="D59" s="25"/>
      <c r="E59" s="25"/>
      <c r="F59" s="25"/>
      <c r="G59" s="25"/>
      <c r="H59" s="26"/>
    </row>
    <row r="60" ht="15.75" customHeight="1">
      <c r="A60" s="55" t="s">
        <v>217</v>
      </c>
      <c r="B60" s="135"/>
      <c r="C60" s="25"/>
      <c r="D60" s="25"/>
      <c r="E60" s="25"/>
      <c r="F60" s="25"/>
      <c r="G60" s="25"/>
      <c r="H60" s="26"/>
    </row>
    <row r="61" ht="15.75" customHeight="1">
      <c r="A61" s="55" t="s">
        <v>40</v>
      </c>
      <c r="B61" s="135"/>
      <c r="C61" s="25"/>
      <c r="D61" s="25"/>
      <c r="E61" s="25"/>
      <c r="F61" s="25"/>
      <c r="G61" s="25"/>
      <c r="H61" s="26"/>
    </row>
    <row r="62" ht="15.75" customHeight="1">
      <c r="A62" s="130" t="s">
        <v>281</v>
      </c>
      <c r="B62" s="10"/>
      <c r="C62" s="10"/>
      <c r="D62" s="10"/>
      <c r="E62" s="10"/>
      <c r="F62" s="10"/>
      <c r="G62" s="10"/>
      <c r="H62" s="10"/>
    </row>
    <row r="63" ht="15.75" customHeight="1">
      <c r="A63" s="110" t="s">
        <v>277</v>
      </c>
      <c r="B63" s="25"/>
      <c r="C63" s="25"/>
      <c r="D63" s="25"/>
      <c r="E63" s="25"/>
      <c r="F63" s="25"/>
      <c r="G63" s="25"/>
      <c r="H63" s="26"/>
    </row>
    <row r="64" ht="15.75" customHeight="1">
      <c r="A64" s="131"/>
      <c r="B64" s="97"/>
      <c r="C64" s="97"/>
      <c r="D64" s="97"/>
      <c r="E64" s="97"/>
      <c r="F64" s="97"/>
      <c r="G64" s="97"/>
      <c r="H64" s="98"/>
    </row>
    <row r="65" ht="15.75" customHeight="1">
      <c r="A65" s="127"/>
      <c r="H65" s="128"/>
    </row>
    <row r="66" ht="15.75" customHeight="1">
      <c r="A66" s="99"/>
      <c r="B66" s="100"/>
      <c r="C66" s="100"/>
      <c r="D66" s="100"/>
      <c r="E66" s="100"/>
      <c r="F66" s="100"/>
      <c r="G66" s="100"/>
      <c r="H66" s="101"/>
    </row>
    <row r="67" ht="15.75" customHeight="1"/>
    <row r="68" ht="15.75" customHeight="1">
      <c r="A68" s="103" t="s">
        <v>284</v>
      </c>
      <c r="G68" s="70" t="s">
        <v>40</v>
      </c>
      <c r="H68" s="104">
        <f>B70</f>
        <v>10</v>
      </c>
    </row>
    <row r="69" ht="15.75" customHeight="1">
      <c r="G69" s="49" t="s">
        <v>285</v>
      </c>
    </row>
    <row r="70" ht="15.75" customHeight="1">
      <c r="A70" s="55" t="s">
        <v>40</v>
      </c>
      <c r="B70" s="124">
        <v>10.0</v>
      </c>
      <c r="C70" s="25"/>
      <c r="D70" s="25"/>
      <c r="E70" s="25"/>
      <c r="F70" s="25"/>
      <c r="G70" s="25"/>
      <c r="H70" s="26"/>
    </row>
    <row r="71" ht="15.75" customHeight="1">
      <c r="A71" s="123" t="s">
        <v>286</v>
      </c>
      <c r="B71" s="25"/>
      <c r="C71" s="25"/>
      <c r="D71" s="25"/>
      <c r="E71" s="25"/>
      <c r="F71" s="25"/>
      <c r="G71" s="25"/>
      <c r="H71" s="26"/>
    </row>
    <row r="72" ht="15.75" customHeight="1">
      <c r="A72" s="126" t="s">
        <v>353</v>
      </c>
      <c r="B72" s="97"/>
      <c r="C72" s="97"/>
      <c r="D72" s="97"/>
      <c r="E72" s="97"/>
      <c r="F72" s="97"/>
      <c r="G72" s="97"/>
      <c r="H72" s="98"/>
    </row>
    <row r="73" ht="15.75" customHeight="1">
      <c r="A73" s="99"/>
      <c r="B73" s="100"/>
      <c r="C73" s="100"/>
      <c r="D73" s="100"/>
      <c r="E73" s="100"/>
      <c r="F73" s="100"/>
      <c r="G73" s="100"/>
      <c r="H73" s="101"/>
    </row>
    <row r="74" ht="15.75" customHeight="1">
      <c r="A74" s="49" t="s">
        <v>290</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conditionalFormatting sqref="D39:H42">
    <cfRule type="cellIs" dxfId="0" priority="1" operator="between">
      <formula>0</formula>
      <formula>45</formula>
    </cfRule>
  </conditionalFormatting>
  <dataValidations>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 type="list" allowBlank="1" showErrorMessage="1" sqref="B23:B24 B47 B58">
      <formula1>Metadata!$B$2:$B$40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6" t="s">
        <v>32</v>
      </c>
    </row>
    <row r="3" ht="15.75" customHeight="1"/>
    <row r="4" ht="15.75" customHeight="1">
      <c r="B4" s="12" t="s">
        <v>1</v>
      </c>
      <c r="C4" s="23" t="str">
        <f>'Diseño'!C4</f>
        <v>667 - Programacion Comercial 1</v>
      </c>
      <c r="D4" s="25"/>
      <c r="E4" s="25"/>
      <c r="F4" s="25"/>
      <c r="G4" s="26"/>
    </row>
    <row r="5" ht="15.75" customHeight="1">
      <c r="B5" s="95" t="s">
        <v>26</v>
      </c>
      <c r="C5" s="23">
        <f>H9+H26+H43</f>
        <v>40</v>
      </c>
      <c r="D5" s="25"/>
      <c r="E5" s="25"/>
      <c r="F5" s="25"/>
      <c r="G5" s="26"/>
    </row>
    <row r="6" ht="15.75" customHeight="1">
      <c r="B6" s="95" t="s">
        <v>217</v>
      </c>
      <c r="C6" s="23">
        <f>F9+F26+F43</f>
        <v>70</v>
      </c>
      <c r="D6" s="25"/>
      <c r="E6" s="25"/>
      <c r="F6" s="25"/>
      <c r="G6" s="26"/>
    </row>
    <row r="7" ht="15.75" customHeight="1">
      <c r="B7" s="14" t="s">
        <v>336</v>
      </c>
    </row>
    <row r="8" ht="15.75" customHeight="1"/>
    <row r="9" ht="15.75" customHeight="1">
      <c r="A9" s="103" t="s">
        <v>337</v>
      </c>
      <c r="E9" s="70" t="s">
        <v>217</v>
      </c>
      <c r="F9" s="109">
        <v>30.0</v>
      </c>
      <c r="G9" s="70" t="s">
        <v>338</v>
      </c>
      <c r="H9" s="109">
        <v>20.0</v>
      </c>
    </row>
    <row r="10" ht="15.75" customHeight="1">
      <c r="A10" s="14" t="s">
        <v>248</v>
      </c>
    </row>
    <row r="11" ht="15.75" customHeight="1">
      <c r="A11" s="116" t="s">
        <v>231</v>
      </c>
      <c r="B11" s="61" t="s">
        <v>24</v>
      </c>
      <c r="C11" s="25"/>
      <c r="D11" s="25"/>
      <c r="E11" s="25"/>
      <c r="F11" s="25"/>
      <c r="G11" s="25"/>
      <c r="H11" s="26"/>
    </row>
    <row r="12" ht="15.75" customHeight="1">
      <c r="A12" s="116" t="s">
        <v>231</v>
      </c>
      <c r="B12" s="61" t="s">
        <v>66</v>
      </c>
      <c r="C12" s="25"/>
      <c r="D12" s="25"/>
      <c r="E12" s="25"/>
      <c r="F12" s="25"/>
      <c r="G12" s="25"/>
      <c r="H12" s="26"/>
    </row>
    <row r="13" ht="15.75" customHeight="1">
      <c r="A13" s="116" t="s">
        <v>231</v>
      </c>
      <c r="B13" s="23"/>
      <c r="C13" s="25"/>
      <c r="D13" s="25"/>
      <c r="E13" s="25"/>
      <c r="F13" s="25"/>
      <c r="G13" s="25"/>
      <c r="H13" s="26"/>
    </row>
    <row r="14" ht="15.75" customHeight="1">
      <c r="A14" s="116" t="s">
        <v>339</v>
      </c>
      <c r="B14" s="61" t="s">
        <v>340</v>
      </c>
      <c r="C14" s="25"/>
      <c r="D14" s="25"/>
      <c r="E14" s="25"/>
      <c r="F14" s="25"/>
      <c r="G14" s="25"/>
      <c r="H14" s="26"/>
    </row>
    <row r="15" ht="15.75" customHeight="1">
      <c r="A15" s="110" t="s">
        <v>341</v>
      </c>
      <c r="B15" s="25"/>
      <c r="C15" s="25"/>
      <c r="D15" s="25"/>
      <c r="E15" s="25"/>
      <c r="F15" s="25"/>
      <c r="G15" s="25"/>
      <c r="H15" s="26"/>
    </row>
    <row r="16" ht="15.75" customHeight="1">
      <c r="A16" s="126" t="s">
        <v>342</v>
      </c>
      <c r="B16" s="97"/>
      <c r="C16" s="97"/>
      <c r="D16" s="97"/>
      <c r="E16" s="97"/>
      <c r="F16" s="97"/>
      <c r="G16" s="97"/>
      <c r="H16" s="98"/>
    </row>
    <row r="17" ht="15.75" customHeight="1">
      <c r="A17" s="127"/>
      <c r="H17" s="128"/>
    </row>
    <row r="18" ht="15.75" customHeight="1">
      <c r="A18" s="99"/>
      <c r="B18" s="100"/>
      <c r="C18" s="100"/>
      <c r="D18" s="100"/>
      <c r="E18" s="100"/>
      <c r="F18" s="100"/>
      <c r="G18" s="100"/>
      <c r="H18" s="101"/>
    </row>
    <row r="19" ht="15.75" customHeight="1">
      <c r="A19" s="110" t="s">
        <v>343</v>
      </c>
      <c r="B19" s="25"/>
      <c r="C19" s="25"/>
      <c r="D19" s="25"/>
      <c r="E19" s="25"/>
      <c r="F19" s="25"/>
      <c r="G19" s="25"/>
      <c r="H19" s="26"/>
    </row>
    <row r="20" ht="15.75" customHeight="1">
      <c r="A20" s="137" t="s">
        <v>344</v>
      </c>
      <c r="B20" s="97"/>
      <c r="C20" s="97"/>
      <c r="D20" s="97"/>
      <c r="E20" s="97"/>
      <c r="F20" s="97"/>
      <c r="G20" s="97"/>
      <c r="H20" s="98"/>
    </row>
    <row r="21" ht="15.75" customHeight="1">
      <c r="A21" s="127"/>
      <c r="H21" s="128"/>
    </row>
    <row r="22" ht="15.75" customHeight="1">
      <c r="A22" s="127"/>
      <c r="H22" s="128"/>
    </row>
    <row r="23" ht="15.75" customHeight="1">
      <c r="A23" s="99"/>
      <c r="B23" s="100"/>
      <c r="C23" s="100"/>
      <c r="D23" s="100"/>
      <c r="E23" s="100"/>
      <c r="F23" s="100"/>
      <c r="G23" s="100"/>
      <c r="H23" s="101"/>
    </row>
    <row r="24" ht="15.75" customHeight="1"/>
    <row r="25" ht="15.75" customHeight="1"/>
    <row r="26" ht="15.75" customHeight="1">
      <c r="A26" s="103" t="s">
        <v>345</v>
      </c>
      <c r="E26" s="70" t="s">
        <v>217</v>
      </c>
      <c r="F26" s="109">
        <v>40.0</v>
      </c>
      <c r="G26" s="70" t="s">
        <v>338</v>
      </c>
      <c r="H26" s="109">
        <v>20.0</v>
      </c>
    </row>
    <row r="27" ht="15.75" customHeight="1">
      <c r="A27" s="14" t="s">
        <v>248</v>
      </c>
    </row>
    <row r="28" ht="15.75" customHeight="1">
      <c r="A28" s="116" t="s">
        <v>231</v>
      </c>
      <c r="B28" s="61" t="s">
        <v>162</v>
      </c>
      <c r="C28" s="25"/>
      <c r="D28" s="25"/>
      <c r="E28" s="25"/>
      <c r="F28" s="25"/>
      <c r="G28" s="25"/>
      <c r="H28" s="26"/>
    </row>
    <row r="29" ht="15.75" customHeight="1">
      <c r="A29" s="116" t="s">
        <v>231</v>
      </c>
      <c r="B29" s="61" t="s">
        <v>101</v>
      </c>
      <c r="C29" s="25"/>
      <c r="D29" s="25"/>
      <c r="E29" s="25"/>
      <c r="F29" s="25"/>
      <c r="G29" s="25"/>
      <c r="H29" s="26"/>
    </row>
    <row r="30" ht="15.75" customHeight="1">
      <c r="A30" s="116" t="s">
        <v>231</v>
      </c>
      <c r="B30" s="61" t="s">
        <v>242</v>
      </c>
      <c r="C30" s="25"/>
      <c r="D30" s="25"/>
      <c r="E30" s="25"/>
      <c r="F30" s="25"/>
      <c r="G30" s="25"/>
      <c r="H30" s="26"/>
    </row>
    <row r="31" ht="15.75" customHeight="1">
      <c r="A31" s="116" t="s">
        <v>339</v>
      </c>
      <c r="B31" s="61" t="s">
        <v>347</v>
      </c>
      <c r="C31" s="25"/>
      <c r="D31" s="25"/>
      <c r="E31" s="25"/>
      <c r="F31" s="25"/>
      <c r="G31" s="25"/>
      <c r="H31" s="26"/>
    </row>
    <row r="32" ht="15.75" customHeight="1">
      <c r="A32" s="110" t="s">
        <v>341</v>
      </c>
      <c r="B32" s="25"/>
      <c r="C32" s="25"/>
      <c r="D32" s="25"/>
      <c r="E32" s="25"/>
      <c r="F32" s="25"/>
      <c r="G32" s="25"/>
      <c r="H32" s="26"/>
    </row>
    <row r="33" ht="15.75" customHeight="1">
      <c r="A33" s="126" t="s">
        <v>348</v>
      </c>
      <c r="B33" s="97"/>
      <c r="C33" s="97"/>
      <c r="D33" s="97"/>
      <c r="E33" s="97"/>
      <c r="F33" s="97"/>
      <c r="G33" s="97"/>
      <c r="H33" s="98"/>
    </row>
    <row r="34" ht="15.75" customHeight="1">
      <c r="A34" s="127"/>
      <c r="H34" s="128"/>
    </row>
    <row r="35" ht="15.75" customHeight="1">
      <c r="A35" s="99"/>
      <c r="B35" s="100"/>
      <c r="C35" s="100"/>
      <c r="D35" s="100"/>
      <c r="E35" s="100"/>
      <c r="F35" s="100"/>
      <c r="G35" s="100"/>
      <c r="H35" s="101"/>
    </row>
    <row r="36" ht="15.75" customHeight="1">
      <c r="A36" s="110" t="s">
        <v>343</v>
      </c>
      <c r="B36" s="25"/>
      <c r="C36" s="25"/>
      <c r="D36" s="25"/>
      <c r="E36" s="25"/>
      <c r="F36" s="25"/>
      <c r="G36" s="25"/>
      <c r="H36" s="26"/>
    </row>
    <row r="37" ht="15.75" customHeight="1">
      <c r="A37" s="126" t="s">
        <v>349</v>
      </c>
      <c r="B37" s="97"/>
      <c r="C37" s="97"/>
      <c r="D37" s="97"/>
      <c r="E37" s="97"/>
      <c r="F37" s="97"/>
      <c r="G37" s="97"/>
      <c r="H37" s="98"/>
    </row>
    <row r="38" ht="15.75" customHeight="1">
      <c r="A38" s="127"/>
      <c r="H38" s="128"/>
    </row>
    <row r="39" ht="15.75" customHeight="1">
      <c r="A39" s="127"/>
      <c r="H39" s="128"/>
    </row>
    <row r="40" ht="15.75" customHeight="1">
      <c r="A40" s="99"/>
      <c r="B40" s="100"/>
      <c r="C40" s="100"/>
      <c r="D40" s="100"/>
      <c r="E40" s="100"/>
      <c r="F40" s="100"/>
      <c r="G40" s="100"/>
      <c r="H40" s="101"/>
    </row>
    <row r="41" ht="15.75" customHeight="1"/>
    <row r="42" ht="15.75" customHeight="1"/>
    <row r="43" ht="15.75" customHeight="1">
      <c r="A43" s="103" t="s">
        <v>350</v>
      </c>
      <c r="E43" s="70" t="s">
        <v>217</v>
      </c>
      <c r="F43" s="104"/>
      <c r="G43" s="70" t="s">
        <v>338</v>
      </c>
      <c r="H43" s="104"/>
    </row>
    <row r="44" ht="15.75" customHeight="1">
      <c r="A44" s="125" t="s">
        <v>352</v>
      </c>
    </row>
    <row r="45" ht="15.75" customHeight="1">
      <c r="A45" s="116" t="s">
        <v>231</v>
      </c>
      <c r="B45" s="23"/>
      <c r="C45" s="25"/>
      <c r="D45" s="25"/>
      <c r="E45" s="25"/>
      <c r="F45" s="25"/>
      <c r="G45" s="25"/>
      <c r="H45" s="26"/>
    </row>
    <row r="46" ht="15.75" customHeight="1">
      <c r="A46" s="116" t="s">
        <v>231</v>
      </c>
      <c r="B46" s="23"/>
      <c r="C46" s="25"/>
      <c r="D46" s="25"/>
      <c r="E46" s="25"/>
      <c r="F46" s="25"/>
      <c r="G46" s="25"/>
      <c r="H46" s="26"/>
    </row>
    <row r="47" ht="15.75" customHeight="1">
      <c r="A47" s="116" t="s">
        <v>231</v>
      </c>
      <c r="B47" s="23"/>
      <c r="C47" s="25"/>
      <c r="D47" s="25"/>
      <c r="E47" s="25"/>
      <c r="F47" s="25"/>
      <c r="G47" s="25"/>
      <c r="H47" s="26"/>
    </row>
    <row r="48" ht="15.75" customHeight="1">
      <c r="A48" s="116" t="s">
        <v>339</v>
      </c>
      <c r="B48" s="23"/>
      <c r="C48" s="25"/>
      <c r="D48" s="25"/>
      <c r="E48" s="25"/>
      <c r="F48" s="25"/>
      <c r="G48" s="25"/>
      <c r="H48" s="26"/>
    </row>
    <row r="49" ht="15.75" customHeight="1">
      <c r="A49" s="110" t="s">
        <v>341</v>
      </c>
      <c r="B49" s="25"/>
      <c r="C49" s="25"/>
      <c r="D49" s="25"/>
      <c r="E49" s="25"/>
      <c r="F49" s="25"/>
      <c r="G49" s="25"/>
      <c r="H49" s="26"/>
    </row>
    <row r="50" ht="15.75" customHeight="1">
      <c r="A50" s="131"/>
      <c r="B50" s="97"/>
      <c r="C50" s="97"/>
      <c r="D50" s="97"/>
      <c r="E50" s="97"/>
      <c r="F50" s="97"/>
      <c r="G50" s="97"/>
      <c r="H50" s="98"/>
    </row>
    <row r="51" ht="15.75" customHeight="1">
      <c r="A51" s="127"/>
      <c r="H51" s="128"/>
    </row>
    <row r="52" ht="15.75" customHeight="1">
      <c r="A52" s="99"/>
      <c r="B52" s="100"/>
      <c r="C52" s="100"/>
      <c r="D52" s="100"/>
      <c r="E52" s="100"/>
      <c r="F52" s="100"/>
      <c r="G52" s="100"/>
      <c r="H52" s="101"/>
    </row>
    <row r="53" ht="15.75" customHeight="1">
      <c r="A53" s="110" t="s">
        <v>343</v>
      </c>
      <c r="B53" s="25"/>
      <c r="C53" s="25"/>
      <c r="D53" s="25"/>
      <c r="E53" s="25"/>
      <c r="F53" s="25"/>
      <c r="G53" s="25"/>
      <c r="H53" s="26"/>
    </row>
    <row r="54" ht="15.75" customHeight="1">
      <c r="A54" s="131"/>
      <c r="B54" s="97"/>
      <c r="C54" s="97"/>
      <c r="D54" s="97"/>
      <c r="E54" s="97"/>
      <c r="F54" s="97"/>
      <c r="G54" s="97"/>
      <c r="H54" s="98"/>
    </row>
    <row r="55" ht="15.75" customHeight="1">
      <c r="A55" s="127"/>
      <c r="H55" s="128"/>
    </row>
    <row r="56" ht="15.75" customHeight="1">
      <c r="A56" s="127"/>
      <c r="H56" s="128"/>
    </row>
    <row r="57" ht="15.75" customHeight="1">
      <c r="A57" s="99"/>
      <c r="B57" s="100"/>
      <c r="C57" s="100"/>
      <c r="D57" s="100"/>
      <c r="E57" s="100"/>
      <c r="F57" s="100"/>
      <c r="G57" s="100"/>
      <c r="H57" s="101"/>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50:H52"/>
    <mergeCell ref="A53:H53"/>
    <mergeCell ref="A54:H57"/>
    <mergeCell ref="A37:H40"/>
    <mergeCell ref="A43:D43"/>
    <mergeCell ref="B45:H45"/>
    <mergeCell ref="B46:H46"/>
    <mergeCell ref="B47:H47"/>
    <mergeCell ref="B48:H48"/>
    <mergeCell ref="A49:H49"/>
  </mergeCells>
  <dataValidations>
    <dataValidation type="list" allowBlank="1" showErrorMessage="1" sqref="B11:B13 B28:B30 B45:B47">
      <formula1>Metadata!$B$2:$B$40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6" t="s">
        <v>351</v>
      </c>
    </row>
    <row r="3" ht="15.75" customHeight="1"/>
    <row r="4" ht="15.75" customHeight="1">
      <c r="B4" s="12" t="s">
        <v>1</v>
      </c>
      <c r="C4" s="23" t="str">
        <f>'Diseño'!C4</f>
        <v>667 - Programacion Comercial 1</v>
      </c>
      <c r="D4" s="25"/>
      <c r="E4" s="25"/>
      <c r="F4" s="25"/>
      <c r="G4" s="26"/>
    </row>
    <row r="5" ht="15.75" customHeight="1">
      <c r="B5" s="95" t="s">
        <v>26</v>
      </c>
      <c r="C5" s="23">
        <f>H9+H26+H43+H60+H77+H94+H111</f>
        <v>0</v>
      </c>
      <c r="D5" s="25"/>
      <c r="E5" s="25"/>
      <c r="F5" s="25"/>
      <c r="G5" s="26"/>
    </row>
    <row r="6" ht="15.75" customHeight="1">
      <c r="B6" s="95" t="s">
        <v>217</v>
      </c>
      <c r="C6" s="23">
        <f>F9+F26+F43+F60+F77+F94+F111</f>
        <v>0</v>
      </c>
      <c r="D6" s="25"/>
      <c r="E6" s="25"/>
      <c r="F6" s="25"/>
      <c r="G6" s="26"/>
    </row>
    <row r="7" ht="15.75" customHeight="1">
      <c r="B7" s="14" t="s">
        <v>354</v>
      </c>
    </row>
    <row r="8" ht="15.75" customHeight="1"/>
    <row r="9" ht="15.75" customHeight="1">
      <c r="A9" s="103" t="s">
        <v>355</v>
      </c>
      <c r="E9" s="70" t="s">
        <v>217</v>
      </c>
      <c r="F9" s="104"/>
      <c r="G9" s="70" t="s">
        <v>338</v>
      </c>
      <c r="H9" s="104"/>
    </row>
    <row r="10" ht="15.75" customHeight="1">
      <c r="A10" s="14" t="s">
        <v>356</v>
      </c>
    </row>
    <row r="11" ht="15.75" customHeight="1">
      <c r="A11" s="116" t="s">
        <v>231</v>
      </c>
      <c r="B11" s="23"/>
      <c r="C11" s="25"/>
      <c r="D11" s="25"/>
      <c r="E11" s="25"/>
      <c r="F11" s="25"/>
      <c r="G11" s="25"/>
      <c r="H11" s="26"/>
    </row>
    <row r="12" ht="15.75" customHeight="1">
      <c r="A12" s="116" t="s">
        <v>231</v>
      </c>
      <c r="B12" s="23"/>
      <c r="C12" s="25"/>
      <c r="D12" s="25"/>
      <c r="E12" s="25"/>
      <c r="F12" s="25"/>
      <c r="G12" s="25"/>
      <c r="H12" s="26"/>
    </row>
    <row r="13" ht="15.75" customHeight="1">
      <c r="A13" s="116" t="s">
        <v>231</v>
      </c>
      <c r="B13" s="23"/>
      <c r="C13" s="25"/>
      <c r="D13" s="25"/>
      <c r="E13" s="25"/>
      <c r="F13" s="25"/>
      <c r="G13" s="25"/>
      <c r="H13" s="26"/>
    </row>
    <row r="14" ht="15.75" customHeight="1">
      <c r="A14" s="116" t="s">
        <v>339</v>
      </c>
      <c r="B14" s="23"/>
      <c r="C14" s="25"/>
      <c r="D14" s="25"/>
      <c r="E14" s="25"/>
      <c r="F14" s="25"/>
      <c r="G14" s="25"/>
      <c r="H14" s="26"/>
    </row>
    <row r="15" ht="15.75" customHeight="1">
      <c r="A15" s="110" t="s">
        <v>341</v>
      </c>
      <c r="B15" s="25"/>
      <c r="C15" s="25"/>
      <c r="D15" s="25"/>
      <c r="E15" s="25"/>
      <c r="F15" s="25"/>
      <c r="G15" s="25"/>
      <c r="H15" s="26"/>
    </row>
    <row r="16" ht="15.75" customHeight="1">
      <c r="A16" s="131"/>
      <c r="B16" s="97"/>
      <c r="C16" s="97"/>
      <c r="D16" s="97"/>
      <c r="E16" s="97"/>
      <c r="F16" s="97"/>
      <c r="G16" s="97"/>
      <c r="H16" s="98"/>
    </row>
    <row r="17" ht="15.75" customHeight="1">
      <c r="A17" s="127"/>
      <c r="H17" s="128"/>
    </row>
    <row r="18" ht="15.75" customHeight="1">
      <c r="A18" s="99"/>
      <c r="B18" s="100"/>
      <c r="C18" s="100"/>
      <c r="D18" s="100"/>
      <c r="E18" s="100"/>
      <c r="F18" s="100"/>
      <c r="G18" s="100"/>
      <c r="H18" s="101"/>
    </row>
    <row r="19" ht="15.75" customHeight="1">
      <c r="A19" s="110" t="s">
        <v>343</v>
      </c>
      <c r="B19" s="25"/>
      <c r="C19" s="25"/>
      <c r="D19" s="25"/>
      <c r="E19" s="25"/>
      <c r="F19" s="25"/>
      <c r="G19" s="25"/>
      <c r="H19" s="26"/>
    </row>
    <row r="20" ht="15.75" customHeight="1">
      <c r="A20" s="131"/>
      <c r="B20" s="97"/>
      <c r="C20" s="97"/>
      <c r="D20" s="97"/>
      <c r="E20" s="97"/>
      <c r="F20" s="97"/>
      <c r="G20" s="97"/>
      <c r="H20" s="98"/>
    </row>
    <row r="21" ht="15.75" customHeight="1">
      <c r="A21" s="127"/>
      <c r="H21" s="128"/>
    </row>
    <row r="22" ht="15.75" customHeight="1">
      <c r="A22" s="127"/>
      <c r="H22" s="128"/>
    </row>
    <row r="23" ht="15.75" customHeight="1">
      <c r="A23" s="99"/>
      <c r="B23" s="100"/>
      <c r="C23" s="100"/>
      <c r="D23" s="100"/>
      <c r="E23" s="100"/>
      <c r="F23" s="100"/>
      <c r="G23" s="100"/>
      <c r="H23" s="101"/>
    </row>
    <row r="24" ht="15.75" customHeight="1"/>
    <row r="25" ht="15.75" customHeight="1"/>
    <row r="26" ht="15.75" customHeight="1">
      <c r="A26" s="103" t="s">
        <v>357</v>
      </c>
      <c r="E26" s="70" t="s">
        <v>217</v>
      </c>
      <c r="F26" s="104"/>
      <c r="G26" s="70" t="s">
        <v>338</v>
      </c>
      <c r="H26" s="104"/>
    </row>
    <row r="27" ht="15.75" customHeight="1">
      <c r="A27" s="125" t="s">
        <v>352</v>
      </c>
    </row>
    <row r="28" ht="15.75" customHeight="1">
      <c r="A28" s="116" t="s">
        <v>231</v>
      </c>
      <c r="B28" s="23"/>
      <c r="C28" s="25"/>
      <c r="D28" s="25"/>
      <c r="E28" s="25"/>
      <c r="F28" s="25"/>
      <c r="G28" s="25"/>
      <c r="H28" s="26"/>
    </row>
    <row r="29" ht="15.75" customHeight="1">
      <c r="A29" s="116" t="s">
        <v>231</v>
      </c>
      <c r="B29" s="23"/>
      <c r="C29" s="25"/>
      <c r="D29" s="25"/>
      <c r="E29" s="25"/>
      <c r="F29" s="25"/>
      <c r="G29" s="25"/>
      <c r="H29" s="26"/>
    </row>
    <row r="30" ht="15.75" customHeight="1">
      <c r="A30" s="116" t="s">
        <v>231</v>
      </c>
      <c r="B30" s="23"/>
      <c r="C30" s="25"/>
      <c r="D30" s="25"/>
      <c r="E30" s="25"/>
      <c r="F30" s="25"/>
      <c r="G30" s="25"/>
      <c r="H30" s="26"/>
    </row>
    <row r="31" ht="15.75" customHeight="1">
      <c r="A31" s="116" t="s">
        <v>339</v>
      </c>
      <c r="B31" s="23"/>
      <c r="C31" s="25"/>
      <c r="D31" s="25"/>
      <c r="E31" s="25"/>
      <c r="F31" s="25"/>
      <c r="G31" s="25"/>
      <c r="H31" s="26"/>
    </row>
    <row r="32" ht="15.75" customHeight="1">
      <c r="A32" s="110" t="s">
        <v>341</v>
      </c>
      <c r="B32" s="25"/>
      <c r="C32" s="25"/>
      <c r="D32" s="25"/>
      <c r="E32" s="25"/>
      <c r="F32" s="25"/>
      <c r="G32" s="25"/>
      <c r="H32" s="26"/>
    </row>
    <row r="33" ht="15.75" customHeight="1">
      <c r="A33" s="131"/>
      <c r="B33" s="97"/>
      <c r="C33" s="97"/>
      <c r="D33" s="97"/>
      <c r="E33" s="97"/>
      <c r="F33" s="97"/>
      <c r="G33" s="97"/>
      <c r="H33" s="98"/>
    </row>
    <row r="34" ht="15.75" customHeight="1">
      <c r="A34" s="127"/>
      <c r="H34" s="128"/>
    </row>
    <row r="35" ht="15.75" customHeight="1">
      <c r="A35" s="99"/>
      <c r="B35" s="100"/>
      <c r="C35" s="100"/>
      <c r="D35" s="100"/>
      <c r="E35" s="100"/>
      <c r="F35" s="100"/>
      <c r="G35" s="100"/>
      <c r="H35" s="101"/>
    </row>
    <row r="36" ht="15.75" customHeight="1">
      <c r="A36" s="110" t="s">
        <v>343</v>
      </c>
      <c r="B36" s="25"/>
      <c r="C36" s="25"/>
      <c r="D36" s="25"/>
      <c r="E36" s="25"/>
      <c r="F36" s="25"/>
      <c r="G36" s="25"/>
      <c r="H36" s="26"/>
    </row>
    <row r="37" ht="15.75" customHeight="1">
      <c r="A37" s="131"/>
      <c r="B37" s="97"/>
      <c r="C37" s="97"/>
      <c r="D37" s="97"/>
      <c r="E37" s="97"/>
      <c r="F37" s="97"/>
      <c r="G37" s="97"/>
      <c r="H37" s="98"/>
    </row>
    <row r="38" ht="15.75" customHeight="1">
      <c r="A38" s="127"/>
      <c r="H38" s="128"/>
    </row>
    <row r="39" ht="15.75" customHeight="1">
      <c r="A39" s="127"/>
      <c r="H39" s="128"/>
    </row>
    <row r="40" ht="15.75" customHeight="1">
      <c r="A40" s="99"/>
      <c r="B40" s="100"/>
      <c r="C40" s="100"/>
      <c r="D40" s="100"/>
      <c r="E40" s="100"/>
      <c r="F40" s="100"/>
      <c r="G40" s="100"/>
      <c r="H40" s="101"/>
    </row>
    <row r="41" ht="15.75" customHeight="1"/>
    <row r="42" ht="15.75" customHeight="1"/>
    <row r="43" ht="15.75" customHeight="1">
      <c r="A43" s="103" t="s">
        <v>358</v>
      </c>
      <c r="E43" s="70" t="s">
        <v>217</v>
      </c>
      <c r="F43" s="104"/>
      <c r="G43" s="70" t="s">
        <v>338</v>
      </c>
      <c r="H43" s="104"/>
    </row>
    <row r="44" ht="15.75" customHeight="1">
      <c r="A44" s="125" t="s">
        <v>352</v>
      </c>
    </row>
    <row r="45" ht="15.75" customHeight="1">
      <c r="A45" s="116" t="s">
        <v>231</v>
      </c>
      <c r="B45" s="23"/>
      <c r="C45" s="25"/>
      <c r="D45" s="25"/>
      <c r="E45" s="25"/>
      <c r="F45" s="25"/>
      <c r="G45" s="25"/>
      <c r="H45" s="26"/>
    </row>
    <row r="46" ht="15.75" customHeight="1">
      <c r="A46" s="116" t="s">
        <v>231</v>
      </c>
      <c r="B46" s="23"/>
      <c r="C46" s="25"/>
      <c r="D46" s="25"/>
      <c r="E46" s="25"/>
      <c r="F46" s="25"/>
      <c r="G46" s="25"/>
      <c r="H46" s="26"/>
    </row>
    <row r="47" ht="15.75" customHeight="1">
      <c r="A47" s="116" t="s">
        <v>231</v>
      </c>
      <c r="B47" s="23"/>
      <c r="C47" s="25"/>
      <c r="D47" s="25"/>
      <c r="E47" s="25"/>
      <c r="F47" s="25"/>
      <c r="G47" s="25"/>
      <c r="H47" s="26"/>
    </row>
    <row r="48" ht="15.75" customHeight="1">
      <c r="A48" s="116" t="s">
        <v>339</v>
      </c>
      <c r="B48" s="23"/>
      <c r="C48" s="25"/>
      <c r="D48" s="25"/>
      <c r="E48" s="25"/>
      <c r="F48" s="25"/>
      <c r="G48" s="25"/>
      <c r="H48" s="26"/>
    </row>
    <row r="49" ht="15.75" customHeight="1">
      <c r="A49" s="110" t="s">
        <v>341</v>
      </c>
      <c r="B49" s="25"/>
      <c r="C49" s="25"/>
      <c r="D49" s="25"/>
      <c r="E49" s="25"/>
      <c r="F49" s="25"/>
      <c r="G49" s="25"/>
      <c r="H49" s="26"/>
    </row>
    <row r="50" ht="15.75" customHeight="1">
      <c r="A50" s="131"/>
      <c r="B50" s="97"/>
      <c r="C50" s="97"/>
      <c r="D50" s="97"/>
      <c r="E50" s="97"/>
      <c r="F50" s="97"/>
      <c r="G50" s="97"/>
      <c r="H50" s="98"/>
    </row>
    <row r="51" ht="15.75" customHeight="1">
      <c r="A51" s="127"/>
      <c r="H51" s="128"/>
    </row>
    <row r="52" ht="15.75" customHeight="1">
      <c r="A52" s="99"/>
      <c r="B52" s="100"/>
      <c r="C52" s="100"/>
      <c r="D52" s="100"/>
      <c r="E52" s="100"/>
      <c r="F52" s="100"/>
      <c r="G52" s="100"/>
      <c r="H52" s="101"/>
    </row>
    <row r="53" ht="15.75" customHeight="1">
      <c r="A53" s="110" t="s">
        <v>343</v>
      </c>
      <c r="B53" s="25"/>
      <c r="C53" s="25"/>
      <c r="D53" s="25"/>
      <c r="E53" s="25"/>
      <c r="F53" s="25"/>
      <c r="G53" s="25"/>
      <c r="H53" s="26"/>
    </row>
    <row r="54" ht="15.75" customHeight="1">
      <c r="A54" s="131"/>
      <c r="B54" s="97"/>
      <c r="C54" s="97"/>
      <c r="D54" s="97"/>
      <c r="E54" s="97"/>
      <c r="F54" s="97"/>
      <c r="G54" s="97"/>
      <c r="H54" s="98"/>
    </row>
    <row r="55" ht="15.75" customHeight="1">
      <c r="A55" s="127"/>
      <c r="H55" s="128"/>
    </row>
    <row r="56" ht="15.75" customHeight="1">
      <c r="A56" s="127"/>
      <c r="H56" s="128"/>
    </row>
    <row r="57" ht="15.75" customHeight="1">
      <c r="A57" s="99"/>
      <c r="B57" s="100"/>
      <c r="C57" s="100"/>
      <c r="D57" s="100"/>
      <c r="E57" s="100"/>
      <c r="F57" s="100"/>
      <c r="G57" s="100"/>
      <c r="H57" s="101"/>
    </row>
    <row r="58" ht="15.75" customHeight="1"/>
    <row r="59" ht="15.75" customHeight="1"/>
    <row r="60" ht="15.75" customHeight="1">
      <c r="A60" s="103" t="s">
        <v>359</v>
      </c>
      <c r="E60" s="70" t="s">
        <v>217</v>
      </c>
      <c r="F60" s="104"/>
      <c r="G60" s="70" t="s">
        <v>338</v>
      </c>
      <c r="H60" s="104"/>
    </row>
    <row r="61" ht="15.75" customHeight="1">
      <c r="A61" s="125" t="s">
        <v>352</v>
      </c>
    </row>
    <row r="62" ht="15.75" customHeight="1">
      <c r="A62" s="116" t="s">
        <v>231</v>
      </c>
      <c r="B62" s="23"/>
      <c r="C62" s="25"/>
      <c r="D62" s="25"/>
      <c r="E62" s="25"/>
      <c r="F62" s="25"/>
      <c r="G62" s="25"/>
      <c r="H62" s="26"/>
    </row>
    <row r="63" ht="15.75" customHeight="1">
      <c r="A63" s="116" t="s">
        <v>231</v>
      </c>
      <c r="B63" s="23"/>
      <c r="C63" s="25"/>
      <c r="D63" s="25"/>
      <c r="E63" s="25"/>
      <c r="F63" s="25"/>
      <c r="G63" s="25"/>
      <c r="H63" s="26"/>
    </row>
    <row r="64" ht="15.75" customHeight="1">
      <c r="A64" s="116" t="s">
        <v>231</v>
      </c>
      <c r="B64" s="23"/>
      <c r="C64" s="25"/>
      <c r="D64" s="25"/>
      <c r="E64" s="25"/>
      <c r="F64" s="25"/>
      <c r="G64" s="25"/>
      <c r="H64" s="26"/>
    </row>
    <row r="65" ht="15.75" customHeight="1">
      <c r="A65" s="116" t="s">
        <v>339</v>
      </c>
      <c r="B65" s="23"/>
      <c r="C65" s="25"/>
      <c r="D65" s="25"/>
      <c r="E65" s="25"/>
      <c r="F65" s="25"/>
      <c r="G65" s="25"/>
      <c r="H65" s="26"/>
    </row>
    <row r="66" ht="15.75" customHeight="1">
      <c r="A66" s="110" t="s">
        <v>341</v>
      </c>
      <c r="B66" s="25"/>
      <c r="C66" s="25"/>
      <c r="D66" s="25"/>
      <c r="E66" s="25"/>
      <c r="F66" s="25"/>
      <c r="G66" s="25"/>
      <c r="H66" s="26"/>
    </row>
    <row r="67" ht="15.75" customHeight="1">
      <c r="A67" s="131"/>
      <c r="B67" s="97"/>
      <c r="C67" s="97"/>
      <c r="D67" s="97"/>
      <c r="E67" s="97"/>
      <c r="F67" s="97"/>
      <c r="G67" s="97"/>
      <c r="H67" s="98"/>
    </row>
    <row r="68" ht="15.75" customHeight="1">
      <c r="A68" s="127"/>
      <c r="H68" s="128"/>
    </row>
    <row r="69" ht="15.75" customHeight="1">
      <c r="A69" s="99"/>
      <c r="B69" s="100"/>
      <c r="C69" s="100"/>
      <c r="D69" s="100"/>
      <c r="E69" s="100"/>
      <c r="F69" s="100"/>
      <c r="G69" s="100"/>
      <c r="H69" s="101"/>
    </row>
    <row r="70" ht="15.75" customHeight="1">
      <c r="A70" s="110" t="s">
        <v>343</v>
      </c>
      <c r="B70" s="25"/>
      <c r="C70" s="25"/>
      <c r="D70" s="25"/>
      <c r="E70" s="25"/>
      <c r="F70" s="25"/>
      <c r="G70" s="25"/>
      <c r="H70" s="26"/>
    </row>
    <row r="71" ht="15.75" customHeight="1">
      <c r="A71" s="131"/>
      <c r="B71" s="97"/>
      <c r="C71" s="97"/>
      <c r="D71" s="97"/>
      <c r="E71" s="97"/>
      <c r="F71" s="97"/>
      <c r="G71" s="97"/>
      <c r="H71" s="98"/>
    </row>
    <row r="72" ht="15.75" customHeight="1">
      <c r="A72" s="127"/>
      <c r="H72" s="128"/>
    </row>
    <row r="73" ht="15.75" customHeight="1">
      <c r="A73" s="127"/>
      <c r="H73" s="128"/>
    </row>
    <row r="74" ht="15.75" customHeight="1">
      <c r="A74" s="99"/>
      <c r="B74" s="100"/>
      <c r="C74" s="100"/>
      <c r="D74" s="100"/>
      <c r="E74" s="100"/>
      <c r="F74" s="100"/>
      <c r="G74" s="100"/>
      <c r="H74" s="101"/>
    </row>
    <row r="75" ht="15.75" customHeight="1"/>
    <row r="76" ht="15.75" customHeight="1"/>
    <row r="77" ht="15.75" customHeight="1">
      <c r="A77" s="103" t="s">
        <v>365</v>
      </c>
      <c r="E77" s="70" t="s">
        <v>217</v>
      </c>
      <c r="F77" s="104"/>
      <c r="G77" s="70" t="s">
        <v>338</v>
      </c>
      <c r="H77" s="104"/>
    </row>
    <row r="78" ht="15.75" customHeight="1">
      <c r="A78" s="125" t="s">
        <v>352</v>
      </c>
    </row>
    <row r="79" ht="15.75" customHeight="1">
      <c r="A79" s="116" t="s">
        <v>231</v>
      </c>
      <c r="B79" s="23"/>
      <c r="C79" s="25"/>
      <c r="D79" s="25"/>
      <c r="E79" s="25"/>
      <c r="F79" s="25"/>
      <c r="G79" s="25"/>
      <c r="H79" s="26"/>
    </row>
    <row r="80" ht="15.75" customHeight="1">
      <c r="A80" s="116" t="s">
        <v>231</v>
      </c>
      <c r="B80" s="23"/>
      <c r="C80" s="25"/>
      <c r="D80" s="25"/>
      <c r="E80" s="25"/>
      <c r="F80" s="25"/>
      <c r="G80" s="25"/>
      <c r="H80" s="26"/>
    </row>
    <row r="81" ht="15.75" customHeight="1">
      <c r="A81" s="116" t="s">
        <v>231</v>
      </c>
      <c r="B81" s="23"/>
      <c r="C81" s="25"/>
      <c r="D81" s="25"/>
      <c r="E81" s="25"/>
      <c r="F81" s="25"/>
      <c r="G81" s="25"/>
      <c r="H81" s="26"/>
    </row>
    <row r="82" ht="15.75" customHeight="1">
      <c r="A82" s="116" t="s">
        <v>339</v>
      </c>
      <c r="B82" s="23"/>
      <c r="C82" s="25"/>
      <c r="D82" s="25"/>
      <c r="E82" s="25"/>
      <c r="F82" s="25"/>
      <c r="G82" s="25"/>
      <c r="H82" s="26"/>
    </row>
    <row r="83" ht="15.75" customHeight="1">
      <c r="A83" s="110" t="s">
        <v>341</v>
      </c>
      <c r="B83" s="25"/>
      <c r="C83" s="25"/>
      <c r="D83" s="25"/>
      <c r="E83" s="25"/>
      <c r="F83" s="25"/>
      <c r="G83" s="25"/>
      <c r="H83" s="26"/>
    </row>
    <row r="84" ht="15.75" customHeight="1">
      <c r="A84" s="131"/>
      <c r="B84" s="97"/>
      <c r="C84" s="97"/>
      <c r="D84" s="97"/>
      <c r="E84" s="97"/>
      <c r="F84" s="97"/>
      <c r="G84" s="97"/>
      <c r="H84" s="98"/>
    </row>
    <row r="85" ht="15.75" customHeight="1">
      <c r="A85" s="127"/>
      <c r="H85" s="128"/>
    </row>
    <row r="86" ht="15.75" customHeight="1">
      <c r="A86" s="99"/>
      <c r="B86" s="100"/>
      <c r="C86" s="100"/>
      <c r="D86" s="100"/>
      <c r="E86" s="100"/>
      <c r="F86" s="100"/>
      <c r="G86" s="100"/>
      <c r="H86" s="101"/>
    </row>
    <row r="87" ht="15.75" customHeight="1">
      <c r="A87" s="110" t="s">
        <v>343</v>
      </c>
      <c r="B87" s="25"/>
      <c r="C87" s="25"/>
      <c r="D87" s="25"/>
      <c r="E87" s="25"/>
      <c r="F87" s="25"/>
      <c r="G87" s="25"/>
      <c r="H87" s="26"/>
    </row>
    <row r="88" ht="15.75" customHeight="1">
      <c r="A88" s="131"/>
      <c r="B88" s="97"/>
      <c r="C88" s="97"/>
      <c r="D88" s="97"/>
      <c r="E88" s="97"/>
      <c r="F88" s="97"/>
      <c r="G88" s="97"/>
      <c r="H88" s="98"/>
    </row>
    <row r="89" ht="15.75" customHeight="1">
      <c r="A89" s="127"/>
      <c r="H89" s="128"/>
    </row>
    <row r="90" ht="15.75" customHeight="1">
      <c r="A90" s="127"/>
      <c r="H90" s="128"/>
    </row>
    <row r="91" ht="15.75" customHeight="1">
      <c r="A91" s="99"/>
      <c r="B91" s="100"/>
      <c r="C91" s="100"/>
      <c r="D91" s="100"/>
      <c r="E91" s="100"/>
      <c r="F91" s="100"/>
      <c r="G91" s="100"/>
      <c r="H91" s="101"/>
    </row>
    <row r="92" ht="15.75" customHeight="1"/>
    <row r="93" ht="15.75" customHeight="1"/>
    <row r="94" ht="15.75" customHeight="1">
      <c r="A94" s="103" t="s">
        <v>385</v>
      </c>
      <c r="E94" s="70" t="s">
        <v>217</v>
      </c>
      <c r="F94" s="104"/>
      <c r="G94" s="70" t="s">
        <v>338</v>
      </c>
      <c r="H94" s="104"/>
    </row>
    <row r="95" ht="15.75" customHeight="1">
      <c r="A95" s="125" t="s">
        <v>352</v>
      </c>
    </row>
    <row r="96" ht="15.75" customHeight="1">
      <c r="A96" s="116" t="s">
        <v>231</v>
      </c>
      <c r="B96" s="23"/>
      <c r="C96" s="25"/>
      <c r="D96" s="25"/>
      <c r="E96" s="25"/>
      <c r="F96" s="25"/>
      <c r="G96" s="25"/>
      <c r="H96" s="26"/>
    </row>
    <row r="97" ht="15.75" customHeight="1">
      <c r="A97" s="116" t="s">
        <v>231</v>
      </c>
      <c r="B97" s="23"/>
      <c r="C97" s="25"/>
      <c r="D97" s="25"/>
      <c r="E97" s="25"/>
      <c r="F97" s="25"/>
      <c r="G97" s="25"/>
      <c r="H97" s="26"/>
    </row>
    <row r="98" ht="15.75" customHeight="1">
      <c r="A98" s="116" t="s">
        <v>231</v>
      </c>
      <c r="B98" s="23"/>
      <c r="C98" s="25"/>
      <c r="D98" s="25"/>
      <c r="E98" s="25"/>
      <c r="F98" s="25"/>
      <c r="G98" s="25"/>
      <c r="H98" s="26"/>
    </row>
    <row r="99" ht="15.75" customHeight="1">
      <c r="A99" s="116" t="s">
        <v>339</v>
      </c>
      <c r="B99" s="23"/>
      <c r="C99" s="25"/>
      <c r="D99" s="25"/>
      <c r="E99" s="25"/>
      <c r="F99" s="25"/>
      <c r="G99" s="25"/>
      <c r="H99" s="26"/>
    </row>
    <row r="100" ht="15.75" customHeight="1">
      <c r="A100" s="110" t="s">
        <v>341</v>
      </c>
      <c r="B100" s="25"/>
      <c r="C100" s="25"/>
      <c r="D100" s="25"/>
      <c r="E100" s="25"/>
      <c r="F100" s="25"/>
      <c r="G100" s="25"/>
      <c r="H100" s="26"/>
    </row>
    <row r="101" ht="15.75" customHeight="1">
      <c r="A101" s="131"/>
      <c r="B101" s="97"/>
      <c r="C101" s="97"/>
      <c r="D101" s="97"/>
      <c r="E101" s="97"/>
      <c r="F101" s="97"/>
      <c r="G101" s="97"/>
      <c r="H101" s="98"/>
    </row>
    <row r="102" ht="15.75" customHeight="1">
      <c r="A102" s="127"/>
      <c r="H102" s="128"/>
    </row>
    <row r="103" ht="15.75" customHeight="1">
      <c r="A103" s="99"/>
      <c r="B103" s="100"/>
      <c r="C103" s="100"/>
      <c r="D103" s="100"/>
      <c r="E103" s="100"/>
      <c r="F103" s="100"/>
      <c r="G103" s="100"/>
      <c r="H103" s="101"/>
    </row>
    <row r="104" ht="15.75" customHeight="1">
      <c r="A104" s="110" t="s">
        <v>343</v>
      </c>
      <c r="B104" s="25"/>
      <c r="C104" s="25"/>
      <c r="D104" s="25"/>
      <c r="E104" s="25"/>
      <c r="F104" s="25"/>
      <c r="G104" s="25"/>
      <c r="H104" s="26"/>
    </row>
    <row r="105" ht="15.75" customHeight="1">
      <c r="A105" s="131"/>
      <c r="B105" s="97"/>
      <c r="C105" s="97"/>
      <c r="D105" s="97"/>
      <c r="E105" s="97"/>
      <c r="F105" s="97"/>
      <c r="G105" s="97"/>
      <c r="H105" s="98"/>
    </row>
    <row r="106" ht="15.75" customHeight="1">
      <c r="A106" s="127"/>
      <c r="H106" s="128"/>
    </row>
    <row r="107" ht="15.75" customHeight="1">
      <c r="A107" s="127"/>
      <c r="H107" s="128"/>
    </row>
    <row r="108" ht="15.75" customHeight="1">
      <c r="A108" s="99"/>
      <c r="B108" s="100"/>
      <c r="C108" s="100"/>
      <c r="D108" s="100"/>
      <c r="E108" s="100"/>
      <c r="F108" s="100"/>
      <c r="G108" s="100"/>
      <c r="H108" s="101"/>
    </row>
    <row r="109" ht="15.75" customHeight="1"/>
    <row r="110" ht="15.75" customHeight="1"/>
    <row r="111" ht="15.75" customHeight="1">
      <c r="A111" s="103" t="s">
        <v>441</v>
      </c>
      <c r="E111" s="70" t="s">
        <v>217</v>
      </c>
      <c r="F111" s="104"/>
      <c r="G111" s="70" t="s">
        <v>338</v>
      </c>
      <c r="H111" s="104"/>
    </row>
    <row r="112" ht="15.75" customHeight="1">
      <c r="A112" s="125" t="s">
        <v>352</v>
      </c>
    </row>
    <row r="113" ht="15.75" customHeight="1">
      <c r="A113" s="116" t="s">
        <v>231</v>
      </c>
      <c r="B113" s="23"/>
      <c r="C113" s="25"/>
      <c r="D113" s="25"/>
      <c r="E113" s="25"/>
      <c r="F113" s="25"/>
      <c r="G113" s="25"/>
      <c r="H113" s="26"/>
    </row>
    <row r="114" ht="15.75" customHeight="1">
      <c r="A114" s="116" t="s">
        <v>231</v>
      </c>
      <c r="B114" s="23"/>
      <c r="C114" s="25"/>
      <c r="D114" s="25"/>
      <c r="E114" s="25"/>
      <c r="F114" s="25"/>
      <c r="G114" s="25"/>
      <c r="H114" s="26"/>
    </row>
    <row r="115" ht="15.75" customHeight="1">
      <c r="A115" s="116" t="s">
        <v>231</v>
      </c>
      <c r="B115" s="23"/>
      <c r="C115" s="25"/>
      <c r="D115" s="25"/>
      <c r="E115" s="25"/>
      <c r="F115" s="25"/>
      <c r="G115" s="25"/>
      <c r="H115" s="26"/>
    </row>
    <row r="116" ht="15.75" customHeight="1">
      <c r="A116" s="116" t="s">
        <v>339</v>
      </c>
      <c r="B116" s="23"/>
      <c r="C116" s="25"/>
      <c r="D116" s="25"/>
      <c r="E116" s="25"/>
      <c r="F116" s="25"/>
      <c r="G116" s="25"/>
      <c r="H116" s="26"/>
    </row>
    <row r="117" ht="15.75" customHeight="1">
      <c r="A117" s="110" t="s">
        <v>341</v>
      </c>
      <c r="B117" s="25"/>
      <c r="C117" s="25"/>
      <c r="D117" s="25"/>
      <c r="E117" s="25"/>
      <c r="F117" s="25"/>
      <c r="G117" s="25"/>
      <c r="H117" s="26"/>
    </row>
    <row r="118" ht="15.75" customHeight="1">
      <c r="A118" s="131"/>
      <c r="B118" s="97"/>
      <c r="C118" s="97"/>
      <c r="D118" s="97"/>
      <c r="E118" s="97"/>
      <c r="F118" s="97"/>
      <c r="G118" s="97"/>
      <c r="H118" s="98"/>
    </row>
    <row r="119" ht="15.75" customHeight="1">
      <c r="A119" s="127"/>
      <c r="H119" s="128"/>
    </row>
    <row r="120" ht="15.75" customHeight="1">
      <c r="A120" s="99"/>
      <c r="B120" s="100"/>
      <c r="C120" s="100"/>
      <c r="D120" s="100"/>
      <c r="E120" s="100"/>
      <c r="F120" s="100"/>
      <c r="G120" s="100"/>
      <c r="H120" s="101"/>
    </row>
    <row r="121" ht="15.75" customHeight="1">
      <c r="A121" s="110" t="s">
        <v>343</v>
      </c>
      <c r="B121" s="25"/>
      <c r="C121" s="25"/>
      <c r="D121" s="25"/>
      <c r="E121" s="25"/>
      <c r="F121" s="25"/>
      <c r="G121" s="25"/>
      <c r="H121" s="26"/>
    </row>
    <row r="122" ht="15.75" customHeight="1">
      <c r="A122" s="131"/>
      <c r="B122" s="97"/>
      <c r="C122" s="97"/>
      <c r="D122" s="97"/>
      <c r="E122" s="97"/>
      <c r="F122" s="97"/>
      <c r="G122" s="97"/>
      <c r="H122" s="98"/>
    </row>
    <row r="123" ht="15.75" customHeight="1">
      <c r="A123" s="127"/>
      <c r="H123" s="128"/>
    </row>
    <row r="124" ht="15.75" customHeight="1">
      <c r="A124" s="127"/>
      <c r="H124" s="128"/>
    </row>
    <row r="125" ht="15.75" customHeight="1">
      <c r="A125" s="99"/>
      <c r="B125" s="100"/>
      <c r="C125" s="100"/>
      <c r="D125" s="100"/>
      <c r="E125" s="100"/>
      <c r="F125" s="100"/>
      <c r="G125" s="100"/>
      <c r="H125" s="101"/>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7">
    <mergeCell ref="A94:D94"/>
    <mergeCell ref="B96:H96"/>
    <mergeCell ref="B97:H97"/>
    <mergeCell ref="B98:H98"/>
    <mergeCell ref="B99:H99"/>
    <mergeCell ref="A100:H100"/>
    <mergeCell ref="A101:H103"/>
    <mergeCell ref="A117:H117"/>
    <mergeCell ref="A118:H120"/>
    <mergeCell ref="A121:H121"/>
    <mergeCell ref="A122:H125"/>
    <mergeCell ref="A104:H104"/>
    <mergeCell ref="A105:H108"/>
    <mergeCell ref="A111:D111"/>
    <mergeCell ref="B113:H113"/>
    <mergeCell ref="B114:H114"/>
    <mergeCell ref="B115:H115"/>
    <mergeCell ref="B116:H116"/>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formula1>Metadata!$I$17:$I$40</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136" t="s">
        <v>53</v>
      </c>
    </row>
    <row r="3" ht="15.75" customHeight="1"/>
    <row r="4" ht="15.75" customHeight="1">
      <c r="B4" s="12" t="s">
        <v>1</v>
      </c>
      <c r="C4" s="23" t="str">
        <f>'Diseño'!C4</f>
        <v>667 - Programacion Comercial 1</v>
      </c>
      <c r="D4" s="25"/>
      <c r="E4" s="25"/>
      <c r="F4" s="25"/>
      <c r="G4" s="26"/>
    </row>
    <row r="5" ht="15.75" customHeight="1">
      <c r="B5" s="95" t="s">
        <v>26</v>
      </c>
      <c r="C5" s="23">
        <f>H9+H26+H43+H60+H77+H94+H111+H128</f>
        <v>4</v>
      </c>
      <c r="D5" s="25"/>
      <c r="E5" s="25"/>
      <c r="F5" s="25"/>
      <c r="G5" s="26"/>
    </row>
    <row r="6" ht="15.75" customHeight="1">
      <c r="B6" s="95" t="s">
        <v>217</v>
      </c>
      <c r="C6" s="23">
        <f>F9+F26+F43+F60+F77+F94+F111+F128</f>
        <v>10</v>
      </c>
      <c r="D6" s="25"/>
      <c r="E6" s="25"/>
      <c r="F6" s="25"/>
      <c r="G6" s="26"/>
    </row>
    <row r="7" ht="15.75" customHeight="1">
      <c r="B7" s="14" t="s">
        <v>380</v>
      </c>
    </row>
    <row r="8" ht="15.75" customHeight="1"/>
    <row r="9" ht="15.75" customHeight="1">
      <c r="A9" s="103" t="s">
        <v>383</v>
      </c>
      <c r="E9" s="70" t="s">
        <v>217</v>
      </c>
      <c r="F9" s="109">
        <v>2.5</v>
      </c>
      <c r="G9" s="70" t="s">
        <v>338</v>
      </c>
      <c r="H9" s="109">
        <v>1.0</v>
      </c>
    </row>
    <row r="10" ht="15.75" customHeight="1">
      <c r="A10" s="14" t="s">
        <v>394</v>
      </c>
    </row>
    <row r="11" ht="15.75" customHeight="1">
      <c r="A11" s="116" t="s">
        <v>231</v>
      </c>
      <c r="B11" s="61" t="s">
        <v>146</v>
      </c>
      <c r="C11" s="25"/>
      <c r="D11" s="25"/>
      <c r="E11" s="25"/>
      <c r="F11" s="25"/>
      <c r="G11" s="25"/>
      <c r="H11" s="26"/>
    </row>
    <row r="12" ht="15.75" customHeight="1">
      <c r="A12" s="116" t="s">
        <v>231</v>
      </c>
      <c r="B12" s="23"/>
      <c r="C12" s="25"/>
      <c r="D12" s="25"/>
      <c r="E12" s="25"/>
      <c r="F12" s="25"/>
      <c r="G12" s="25"/>
      <c r="H12" s="26"/>
    </row>
    <row r="13" ht="15.75" customHeight="1">
      <c r="A13" s="116" t="s">
        <v>231</v>
      </c>
      <c r="B13" s="23"/>
      <c r="C13" s="25"/>
      <c r="D13" s="25"/>
      <c r="E13" s="25"/>
      <c r="F13" s="25"/>
      <c r="G13" s="25"/>
      <c r="H13" s="26"/>
    </row>
    <row r="14" ht="15.75" customHeight="1">
      <c r="A14" s="116" t="s">
        <v>339</v>
      </c>
      <c r="B14" s="23"/>
      <c r="C14" s="25"/>
      <c r="D14" s="25"/>
      <c r="E14" s="25"/>
      <c r="F14" s="25"/>
      <c r="G14" s="25"/>
      <c r="H14" s="26"/>
    </row>
    <row r="15" ht="15.75" customHeight="1">
      <c r="A15" s="110" t="s">
        <v>341</v>
      </c>
      <c r="B15" s="25"/>
      <c r="C15" s="25"/>
      <c r="D15" s="25"/>
      <c r="E15" s="25"/>
      <c r="F15" s="25"/>
      <c r="G15" s="25"/>
      <c r="H15" s="26"/>
    </row>
    <row r="16" ht="15.75" customHeight="1">
      <c r="A16" s="126" t="s">
        <v>428</v>
      </c>
      <c r="B16" s="97"/>
      <c r="C16" s="97"/>
      <c r="D16" s="97"/>
      <c r="E16" s="97"/>
      <c r="F16" s="97"/>
      <c r="G16" s="97"/>
      <c r="H16" s="98"/>
    </row>
    <row r="17" ht="15.75" customHeight="1">
      <c r="A17" s="127"/>
      <c r="H17" s="128"/>
    </row>
    <row r="18" ht="15.75" customHeight="1">
      <c r="A18" s="99"/>
      <c r="B18" s="100"/>
      <c r="C18" s="100"/>
      <c r="D18" s="100"/>
      <c r="E18" s="100"/>
      <c r="F18" s="100"/>
      <c r="G18" s="100"/>
      <c r="H18" s="101"/>
    </row>
    <row r="19" ht="15.75" customHeight="1">
      <c r="A19" s="110" t="s">
        <v>435</v>
      </c>
      <c r="B19" s="25"/>
      <c r="C19" s="25"/>
      <c r="D19" s="25"/>
      <c r="E19" s="25"/>
      <c r="F19" s="25"/>
      <c r="G19" s="25"/>
      <c r="H19" s="26"/>
    </row>
    <row r="20" ht="15.75" customHeight="1">
      <c r="A20" s="138" t="s">
        <v>440</v>
      </c>
      <c r="B20" s="97"/>
      <c r="C20" s="97"/>
      <c r="D20" s="97"/>
      <c r="E20" s="97"/>
      <c r="F20" s="97"/>
      <c r="G20" s="97"/>
      <c r="H20" s="98"/>
    </row>
    <row r="21" ht="15.75" customHeight="1">
      <c r="A21" s="127"/>
      <c r="H21" s="128"/>
    </row>
    <row r="22" ht="15.75" customHeight="1">
      <c r="A22" s="127"/>
      <c r="H22" s="128"/>
    </row>
    <row r="23" ht="15.75" customHeight="1">
      <c r="A23" s="99"/>
      <c r="B23" s="100"/>
      <c r="C23" s="100"/>
      <c r="D23" s="100"/>
      <c r="E23" s="100"/>
      <c r="F23" s="100"/>
      <c r="G23" s="100"/>
      <c r="H23" s="101"/>
    </row>
    <row r="24" ht="15.75" customHeight="1">
      <c r="A24" s="103"/>
      <c r="B24" s="103"/>
      <c r="C24" s="103"/>
      <c r="D24" s="103"/>
      <c r="E24" s="70"/>
      <c r="F24" s="139"/>
      <c r="G24" s="70"/>
      <c r="H24" s="139"/>
    </row>
    <row r="25" ht="15.75" customHeight="1">
      <c r="A25" s="103"/>
      <c r="B25" s="103"/>
      <c r="C25" s="103"/>
      <c r="D25" s="103"/>
      <c r="E25" s="70"/>
      <c r="F25" s="139"/>
      <c r="G25" s="70"/>
      <c r="H25" s="139"/>
    </row>
    <row r="26" ht="15.75" customHeight="1">
      <c r="A26" s="103" t="s">
        <v>454</v>
      </c>
      <c r="E26" s="70" t="s">
        <v>217</v>
      </c>
      <c r="F26" s="109">
        <v>2.5</v>
      </c>
      <c r="G26" s="70" t="s">
        <v>338</v>
      </c>
      <c r="H26" s="109">
        <v>1.0</v>
      </c>
    </row>
    <row r="27" ht="15.75" customHeight="1">
      <c r="A27" s="14" t="s">
        <v>356</v>
      </c>
    </row>
    <row r="28" ht="15.75" customHeight="1">
      <c r="A28" s="116" t="s">
        <v>231</v>
      </c>
      <c r="B28" s="61" t="s">
        <v>24</v>
      </c>
      <c r="C28" s="25"/>
      <c r="D28" s="25"/>
      <c r="E28" s="25"/>
      <c r="F28" s="25"/>
      <c r="G28" s="25"/>
      <c r="H28" s="26"/>
    </row>
    <row r="29" ht="15.75" customHeight="1">
      <c r="A29" s="116" t="s">
        <v>231</v>
      </c>
      <c r="B29" s="23"/>
      <c r="C29" s="25"/>
      <c r="D29" s="25"/>
      <c r="E29" s="25"/>
      <c r="F29" s="25"/>
      <c r="G29" s="25"/>
      <c r="H29" s="26"/>
    </row>
    <row r="30" ht="15.75" customHeight="1">
      <c r="A30" s="116" t="s">
        <v>231</v>
      </c>
      <c r="B30" s="23"/>
      <c r="C30" s="25"/>
      <c r="D30" s="25"/>
      <c r="E30" s="25"/>
      <c r="F30" s="25"/>
      <c r="G30" s="25"/>
      <c r="H30" s="26"/>
    </row>
    <row r="31" ht="15.75" customHeight="1">
      <c r="A31" s="116" t="s">
        <v>339</v>
      </c>
      <c r="B31" s="61" t="s">
        <v>35</v>
      </c>
      <c r="C31" s="25"/>
      <c r="D31" s="25"/>
      <c r="E31" s="25"/>
      <c r="F31" s="25"/>
      <c r="G31" s="25"/>
      <c r="H31" s="26"/>
    </row>
    <row r="32" ht="15.75" customHeight="1">
      <c r="A32" s="110" t="s">
        <v>341</v>
      </c>
      <c r="B32" s="25"/>
      <c r="C32" s="25"/>
      <c r="D32" s="25"/>
      <c r="E32" s="25"/>
      <c r="F32" s="25"/>
      <c r="G32" s="25"/>
      <c r="H32" s="26"/>
    </row>
    <row r="33" ht="15.75" customHeight="1">
      <c r="A33" s="126" t="s">
        <v>461</v>
      </c>
      <c r="B33" s="97"/>
      <c r="C33" s="97"/>
      <c r="D33" s="97"/>
      <c r="E33" s="97"/>
      <c r="F33" s="97"/>
      <c r="G33" s="97"/>
      <c r="H33" s="98"/>
    </row>
    <row r="34" ht="15.75" customHeight="1">
      <c r="A34" s="127"/>
      <c r="H34" s="128"/>
    </row>
    <row r="35" ht="15.75" customHeight="1">
      <c r="A35" s="99"/>
      <c r="B35" s="100"/>
      <c r="C35" s="100"/>
      <c r="D35" s="100"/>
      <c r="E35" s="100"/>
      <c r="F35" s="100"/>
      <c r="G35" s="100"/>
      <c r="H35" s="101"/>
    </row>
    <row r="36" ht="15.75" customHeight="1">
      <c r="A36" s="110" t="s">
        <v>343</v>
      </c>
      <c r="B36" s="25"/>
      <c r="C36" s="25"/>
      <c r="D36" s="25"/>
      <c r="E36" s="25"/>
      <c r="F36" s="25"/>
      <c r="G36" s="25"/>
      <c r="H36" s="26"/>
    </row>
    <row r="37" ht="15.75" customHeight="1">
      <c r="A37" s="126" t="s">
        <v>462</v>
      </c>
      <c r="B37" s="97"/>
      <c r="C37" s="97"/>
      <c r="D37" s="97"/>
      <c r="E37" s="97"/>
      <c r="F37" s="97"/>
      <c r="G37" s="97"/>
      <c r="H37" s="98"/>
    </row>
    <row r="38" ht="15.75" customHeight="1">
      <c r="A38" s="127"/>
      <c r="H38" s="128"/>
    </row>
    <row r="39" ht="15.75" customHeight="1">
      <c r="A39" s="127"/>
      <c r="H39" s="128"/>
    </row>
    <row r="40" ht="15.75" customHeight="1">
      <c r="A40" s="99"/>
      <c r="B40" s="100"/>
      <c r="C40" s="100"/>
      <c r="D40" s="100"/>
      <c r="E40" s="100"/>
      <c r="F40" s="100"/>
      <c r="G40" s="100"/>
      <c r="H40" s="101"/>
    </row>
    <row r="41" ht="15.75" customHeight="1"/>
    <row r="42" ht="15.75" customHeight="1"/>
    <row r="43" ht="15.75" customHeight="1">
      <c r="A43" s="103" t="s">
        <v>463</v>
      </c>
      <c r="E43" s="70" t="s">
        <v>217</v>
      </c>
      <c r="F43" s="109">
        <v>2.5</v>
      </c>
      <c r="G43" s="70" t="s">
        <v>338</v>
      </c>
      <c r="H43" s="109">
        <v>1.0</v>
      </c>
    </row>
    <row r="44" ht="15.75" customHeight="1">
      <c r="A44" s="14" t="s">
        <v>356</v>
      </c>
    </row>
    <row r="45" ht="15.75" customHeight="1">
      <c r="A45" s="116" t="s">
        <v>231</v>
      </c>
      <c r="B45" s="61" t="s">
        <v>24</v>
      </c>
      <c r="C45" s="25"/>
      <c r="D45" s="25"/>
      <c r="E45" s="25"/>
      <c r="F45" s="25"/>
      <c r="G45" s="25"/>
      <c r="H45" s="26"/>
    </row>
    <row r="46" ht="15.75" customHeight="1">
      <c r="A46" s="116" t="s">
        <v>231</v>
      </c>
      <c r="B46" s="61" t="s">
        <v>66</v>
      </c>
      <c r="C46" s="25"/>
      <c r="D46" s="25"/>
      <c r="E46" s="25"/>
      <c r="F46" s="25"/>
      <c r="G46" s="25"/>
      <c r="H46" s="26"/>
    </row>
    <row r="47" ht="15.75" customHeight="1">
      <c r="A47" s="116" t="s">
        <v>231</v>
      </c>
      <c r="B47" s="23"/>
      <c r="C47" s="25"/>
      <c r="D47" s="25"/>
      <c r="E47" s="25"/>
      <c r="F47" s="25"/>
      <c r="G47" s="25"/>
      <c r="H47" s="26"/>
    </row>
    <row r="48" ht="15.75" customHeight="1">
      <c r="A48" s="116" t="s">
        <v>339</v>
      </c>
      <c r="B48" s="61" t="s">
        <v>464</v>
      </c>
      <c r="C48" s="25"/>
      <c r="D48" s="25"/>
      <c r="E48" s="25"/>
      <c r="F48" s="25"/>
      <c r="G48" s="25"/>
      <c r="H48" s="26"/>
    </row>
    <row r="49" ht="15.75" customHeight="1">
      <c r="A49" s="110" t="s">
        <v>341</v>
      </c>
      <c r="B49" s="25"/>
      <c r="C49" s="25"/>
      <c r="D49" s="25"/>
      <c r="E49" s="25"/>
      <c r="F49" s="25"/>
      <c r="G49" s="25"/>
      <c r="H49" s="26"/>
    </row>
    <row r="50" ht="15.75" customHeight="1">
      <c r="A50" s="126" t="s">
        <v>465</v>
      </c>
      <c r="B50" s="97"/>
      <c r="C50" s="97"/>
      <c r="D50" s="97"/>
      <c r="E50" s="97"/>
      <c r="F50" s="97"/>
      <c r="G50" s="97"/>
      <c r="H50" s="98"/>
    </row>
    <row r="51" ht="15.75" customHeight="1">
      <c r="A51" s="127"/>
      <c r="H51" s="128"/>
    </row>
    <row r="52" ht="15.75" customHeight="1">
      <c r="A52" s="99"/>
      <c r="B52" s="100"/>
      <c r="C52" s="100"/>
      <c r="D52" s="100"/>
      <c r="E52" s="100"/>
      <c r="F52" s="100"/>
      <c r="G52" s="100"/>
      <c r="H52" s="101"/>
    </row>
    <row r="53" ht="15.75" customHeight="1">
      <c r="A53" s="110" t="s">
        <v>343</v>
      </c>
      <c r="B53" s="25"/>
      <c r="C53" s="25"/>
      <c r="D53" s="25"/>
      <c r="E53" s="25"/>
      <c r="F53" s="25"/>
      <c r="G53" s="25"/>
      <c r="H53" s="26"/>
    </row>
    <row r="54" ht="15.75" customHeight="1">
      <c r="A54" s="126" t="s">
        <v>466</v>
      </c>
      <c r="B54" s="97"/>
      <c r="C54" s="97"/>
      <c r="D54" s="97"/>
      <c r="E54" s="97"/>
      <c r="F54" s="97"/>
      <c r="G54" s="97"/>
      <c r="H54" s="98"/>
    </row>
    <row r="55" ht="15.75" customHeight="1">
      <c r="A55" s="127"/>
      <c r="H55" s="128"/>
    </row>
    <row r="56" ht="15.75" customHeight="1">
      <c r="A56" s="127"/>
      <c r="H56" s="128"/>
    </row>
    <row r="57" ht="15.75" customHeight="1">
      <c r="A57" s="99"/>
      <c r="B57" s="100"/>
      <c r="C57" s="100"/>
      <c r="D57" s="100"/>
      <c r="E57" s="100"/>
      <c r="F57" s="100"/>
      <c r="G57" s="100"/>
      <c r="H57" s="101"/>
    </row>
    <row r="58" ht="15.75" customHeight="1"/>
    <row r="59" ht="15.75" customHeight="1"/>
    <row r="60" ht="15.75" customHeight="1">
      <c r="A60" s="103" t="s">
        <v>467</v>
      </c>
      <c r="E60" s="70" t="s">
        <v>217</v>
      </c>
      <c r="F60" s="109">
        <v>2.5</v>
      </c>
      <c r="G60" s="70" t="s">
        <v>338</v>
      </c>
      <c r="H60" s="109">
        <v>1.0</v>
      </c>
    </row>
    <row r="61" ht="15.75" customHeight="1">
      <c r="A61" s="125" t="s">
        <v>352</v>
      </c>
    </row>
    <row r="62" ht="15.75" customHeight="1">
      <c r="A62" s="116" t="s">
        <v>231</v>
      </c>
      <c r="B62" s="61" t="s">
        <v>101</v>
      </c>
      <c r="C62" s="25"/>
      <c r="D62" s="25"/>
      <c r="E62" s="25"/>
      <c r="F62" s="25"/>
      <c r="G62" s="25"/>
      <c r="H62" s="26"/>
    </row>
    <row r="63" ht="15.75" customHeight="1">
      <c r="A63" s="116" t="s">
        <v>231</v>
      </c>
      <c r="B63" s="23"/>
      <c r="C63" s="25"/>
      <c r="D63" s="25"/>
      <c r="E63" s="25"/>
      <c r="F63" s="25"/>
      <c r="G63" s="25"/>
      <c r="H63" s="26"/>
    </row>
    <row r="64" ht="15.75" customHeight="1">
      <c r="A64" s="116" t="s">
        <v>231</v>
      </c>
      <c r="B64" s="23"/>
      <c r="C64" s="25"/>
      <c r="D64" s="25"/>
      <c r="E64" s="25"/>
      <c r="F64" s="25"/>
      <c r="G64" s="25"/>
      <c r="H64" s="26"/>
    </row>
    <row r="65" ht="15.75" customHeight="1">
      <c r="A65" s="116" t="s">
        <v>339</v>
      </c>
      <c r="B65" s="61" t="s">
        <v>468</v>
      </c>
      <c r="C65" s="25"/>
      <c r="D65" s="25"/>
      <c r="E65" s="25"/>
      <c r="F65" s="25"/>
      <c r="G65" s="25"/>
      <c r="H65" s="26"/>
    </row>
    <row r="66" ht="15.75" customHeight="1">
      <c r="A66" s="110" t="s">
        <v>341</v>
      </c>
      <c r="B66" s="25"/>
      <c r="C66" s="25"/>
      <c r="D66" s="25"/>
      <c r="E66" s="25"/>
      <c r="F66" s="25"/>
      <c r="G66" s="25"/>
      <c r="H66" s="26"/>
    </row>
    <row r="67" ht="15.75" customHeight="1">
      <c r="A67" s="126" t="s">
        <v>469</v>
      </c>
      <c r="B67" s="97"/>
      <c r="C67" s="97"/>
      <c r="D67" s="97"/>
      <c r="E67" s="97"/>
      <c r="F67" s="97"/>
      <c r="G67" s="97"/>
      <c r="H67" s="98"/>
    </row>
    <row r="68" ht="15.75" customHeight="1">
      <c r="A68" s="127"/>
      <c r="H68" s="128"/>
    </row>
    <row r="69" ht="15.75" customHeight="1">
      <c r="A69" s="99"/>
      <c r="B69" s="100"/>
      <c r="C69" s="100"/>
      <c r="D69" s="100"/>
      <c r="E69" s="100"/>
      <c r="F69" s="100"/>
      <c r="G69" s="100"/>
      <c r="H69" s="101"/>
    </row>
    <row r="70" ht="15.75" customHeight="1">
      <c r="A70" s="110" t="s">
        <v>343</v>
      </c>
      <c r="B70" s="25"/>
      <c r="C70" s="25"/>
      <c r="D70" s="25"/>
      <c r="E70" s="25"/>
      <c r="F70" s="25"/>
      <c r="G70" s="25"/>
      <c r="H70" s="26"/>
    </row>
    <row r="71" ht="15.75" customHeight="1">
      <c r="A71" s="126" t="s">
        <v>470</v>
      </c>
      <c r="B71" s="97"/>
      <c r="C71" s="97"/>
      <c r="D71" s="97"/>
      <c r="E71" s="97"/>
      <c r="F71" s="97"/>
      <c r="G71" s="97"/>
      <c r="H71" s="98"/>
    </row>
    <row r="72" ht="15.75" customHeight="1">
      <c r="A72" s="127"/>
      <c r="H72" s="128"/>
    </row>
    <row r="73" ht="15.75" customHeight="1">
      <c r="A73" s="127"/>
      <c r="H73" s="128"/>
    </row>
    <row r="74" ht="15.75" customHeight="1">
      <c r="A74" s="99"/>
      <c r="B74" s="100"/>
      <c r="C74" s="100"/>
      <c r="D74" s="100"/>
      <c r="E74" s="100"/>
      <c r="F74" s="100"/>
      <c r="G74" s="100"/>
      <c r="H74" s="101"/>
    </row>
    <row r="75" ht="15.75" customHeight="1"/>
    <row r="76" ht="15.75" customHeight="1"/>
    <row r="77" ht="15.75" customHeight="1">
      <c r="A77" s="103" t="s">
        <v>471</v>
      </c>
      <c r="E77" s="70" t="s">
        <v>217</v>
      </c>
      <c r="F77" s="104"/>
      <c r="G77" s="70" t="s">
        <v>338</v>
      </c>
      <c r="H77" s="104"/>
    </row>
    <row r="78" ht="15.75" customHeight="1">
      <c r="A78" s="125" t="s">
        <v>352</v>
      </c>
    </row>
    <row r="79" ht="15.75" customHeight="1">
      <c r="A79" s="116" t="s">
        <v>231</v>
      </c>
      <c r="B79" s="23"/>
      <c r="C79" s="25"/>
      <c r="D79" s="25"/>
      <c r="E79" s="25"/>
      <c r="F79" s="25"/>
      <c r="G79" s="25"/>
      <c r="H79" s="26"/>
    </row>
    <row r="80" ht="15.75" customHeight="1">
      <c r="A80" s="116" t="s">
        <v>231</v>
      </c>
      <c r="B80" s="23"/>
      <c r="C80" s="25"/>
      <c r="D80" s="25"/>
      <c r="E80" s="25"/>
      <c r="F80" s="25"/>
      <c r="G80" s="25"/>
      <c r="H80" s="26"/>
    </row>
    <row r="81" ht="15.75" customHeight="1">
      <c r="A81" s="116" t="s">
        <v>231</v>
      </c>
      <c r="B81" s="23"/>
      <c r="C81" s="25"/>
      <c r="D81" s="25"/>
      <c r="E81" s="25"/>
      <c r="F81" s="25"/>
      <c r="G81" s="25"/>
      <c r="H81" s="26"/>
    </row>
    <row r="82" ht="15.75" customHeight="1">
      <c r="A82" s="116" t="s">
        <v>339</v>
      </c>
      <c r="B82" s="23"/>
      <c r="C82" s="25"/>
      <c r="D82" s="25"/>
      <c r="E82" s="25"/>
      <c r="F82" s="25"/>
      <c r="G82" s="25"/>
      <c r="H82" s="26"/>
    </row>
    <row r="83" ht="15.75" customHeight="1">
      <c r="A83" s="110" t="s">
        <v>341</v>
      </c>
      <c r="B83" s="25"/>
      <c r="C83" s="25"/>
      <c r="D83" s="25"/>
      <c r="E83" s="25"/>
      <c r="F83" s="25"/>
      <c r="G83" s="25"/>
      <c r="H83" s="26"/>
    </row>
    <row r="84" ht="15.75" customHeight="1">
      <c r="A84" s="131"/>
      <c r="B84" s="97"/>
      <c r="C84" s="97"/>
      <c r="D84" s="97"/>
      <c r="E84" s="97"/>
      <c r="F84" s="97"/>
      <c r="G84" s="97"/>
      <c r="H84" s="98"/>
    </row>
    <row r="85" ht="15.75" customHeight="1">
      <c r="A85" s="127"/>
      <c r="H85" s="128"/>
    </row>
    <row r="86" ht="15.75" customHeight="1">
      <c r="A86" s="99"/>
      <c r="B86" s="100"/>
      <c r="C86" s="100"/>
      <c r="D86" s="100"/>
      <c r="E86" s="100"/>
      <c r="F86" s="100"/>
      <c r="G86" s="100"/>
      <c r="H86" s="101"/>
    </row>
    <row r="87" ht="15.75" customHeight="1">
      <c r="A87" s="110" t="s">
        <v>343</v>
      </c>
      <c r="B87" s="25"/>
      <c r="C87" s="25"/>
      <c r="D87" s="25"/>
      <c r="E87" s="25"/>
      <c r="F87" s="25"/>
      <c r="G87" s="25"/>
      <c r="H87" s="26"/>
    </row>
    <row r="88" ht="15.75" customHeight="1">
      <c r="A88" s="131"/>
      <c r="B88" s="97"/>
      <c r="C88" s="97"/>
      <c r="D88" s="97"/>
      <c r="E88" s="97"/>
      <c r="F88" s="97"/>
      <c r="G88" s="97"/>
      <c r="H88" s="98"/>
    </row>
    <row r="89" ht="15.75" customHeight="1">
      <c r="A89" s="127"/>
      <c r="H89" s="128"/>
    </row>
    <row r="90" ht="15.75" customHeight="1">
      <c r="A90" s="127"/>
      <c r="H90" s="128"/>
    </row>
    <row r="91" ht="15.75" customHeight="1">
      <c r="A91" s="99"/>
      <c r="B91" s="100"/>
      <c r="C91" s="100"/>
      <c r="D91" s="100"/>
      <c r="E91" s="100"/>
      <c r="F91" s="100"/>
      <c r="G91" s="100"/>
      <c r="H91" s="101"/>
    </row>
    <row r="92" ht="15.75" customHeight="1"/>
    <row r="93" ht="15.75" customHeight="1"/>
    <row r="94" ht="15.75" customHeight="1">
      <c r="A94" s="103" t="s">
        <v>472</v>
      </c>
      <c r="E94" s="70" t="s">
        <v>217</v>
      </c>
      <c r="F94" s="104"/>
      <c r="G94" s="70" t="s">
        <v>338</v>
      </c>
      <c r="H94" s="104"/>
    </row>
    <row r="95" ht="15.75" customHeight="1">
      <c r="A95" s="125" t="s">
        <v>352</v>
      </c>
    </row>
    <row r="96" ht="15.75" customHeight="1">
      <c r="A96" s="116" t="s">
        <v>231</v>
      </c>
      <c r="B96" s="23"/>
      <c r="C96" s="25"/>
      <c r="D96" s="25"/>
      <c r="E96" s="25"/>
      <c r="F96" s="25"/>
      <c r="G96" s="25"/>
      <c r="H96" s="26"/>
    </row>
    <row r="97" ht="15.75" customHeight="1">
      <c r="A97" s="116" t="s">
        <v>231</v>
      </c>
      <c r="B97" s="23"/>
      <c r="C97" s="25"/>
      <c r="D97" s="25"/>
      <c r="E97" s="25"/>
      <c r="F97" s="25"/>
      <c r="G97" s="25"/>
      <c r="H97" s="26"/>
    </row>
    <row r="98" ht="15.75" customHeight="1">
      <c r="A98" s="116" t="s">
        <v>231</v>
      </c>
      <c r="B98" s="23"/>
      <c r="C98" s="25"/>
      <c r="D98" s="25"/>
      <c r="E98" s="25"/>
      <c r="F98" s="25"/>
      <c r="G98" s="25"/>
      <c r="H98" s="26"/>
    </row>
    <row r="99" ht="15.75" customHeight="1">
      <c r="A99" s="116" t="s">
        <v>339</v>
      </c>
      <c r="B99" s="23"/>
      <c r="C99" s="25"/>
      <c r="D99" s="25"/>
      <c r="E99" s="25"/>
      <c r="F99" s="25"/>
      <c r="G99" s="25"/>
      <c r="H99" s="26"/>
    </row>
    <row r="100" ht="15.75" customHeight="1">
      <c r="A100" s="110" t="s">
        <v>341</v>
      </c>
      <c r="B100" s="25"/>
      <c r="C100" s="25"/>
      <c r="D100" s="25"/>
      <c r="E100" s="25"/>
      <c r="F100" s="25"/>
      <c r="G100" s="25"/>
      <c r="H100" s="26"/>
    </row>
    <row r="101" ht="15.75" customHeight="1">
      <c r="A101" s="131"/>
      <c r="B101" s="97"/>
      <c r="C101" s="97"/>
      <c r="D101" s="97"/>
      <c r="E101" s="97"/>
      <c r="F101" s="97"/>
      <c r="G101" s="97"/>
      <c r="H101" s="98"/>
    </row>
    <row r="102" ht="15.75" customHeight="1">
      <c r="A102" s="127"/>
      <c r="H102" s="128"/>
    </row>
    <row r="103" ht="15.75" customHeight="1">
      <c r="A103" s="99"/>
      <c r="B103" s="100"/>
      <c r="C103" s="100"/>
      <c r="D103" s="100"/>
      <c r="E103" s="100"/>
      <c r="F103" s="100"/>
      <c r="G103" s="100"/>
      <c r="H103" s="101"/>
    </row>
    <row r="104" ht="15.75" customHeight="1">
      <c r="A104" s="110" t="s">
        <v>343</v>
      </c>
      <c r="B104" s="25"/>
      <c r="C104" s="25"/>
      <c r="D104" s="25"/>
      <c r="E104" s="25"/>
      <c r="F104" s="25"/>
      <c r="G104" s="25"/>
      <c r="H104" s="26"/>
    </row>
    <row r="105" ht="15.75" customHeight="1">
      <c r="A105" s="131"/>
      <c r="B105" s="97"/>
      <c r="C105" s="97"/>
      <c r="D105" s="97"/>
      <c r="E105" s="97"/>
      <c r="F105" s="97"/>
      <c r="G105" s="97"/>
      <c r="H105" s="98"/>
    </row>
    <row r="106" ht="15.75" customHeight="1">
      <c r="A106" s="127"/>
      <c r="H106" s="128"/>
    </row>
    <row r="107" ht="15.75" customHeight="1">
      <c r="A107" s="127"/>
      <c r="H107" s="128"/>
    </row>
    <row r="108" ht="15.75" customHeight="1">
      <c r="A108" s="99"/>
      <c r="B108" s="100"/>
      <c r="C108" s="100"/>
      <c r="D108" s="100"/>
      <c r="E108" s="100"/>
      <c r="F108" s="100"/>
      <c r="G108" s="100"/>
      <c r="H108" s="101"/>
    </row>
    <row r="109" ht="15.75" customHeight="1"/>
    <row r="110" ht="15.75" customHeight="1"/>
    <row r="111" ht="15.75" customHeight="1">
      <c r="A111" s="103" t="s">
        <v>473</v>
      </c>
      <c r="E111" s="70" t="s">
        <v>217</v>
      </c>
      <c r="F111" s="104"/>
      <c r="G111" s="70" t="s">
        <v>338</v>
      </c>
      <c r="H111" s="104"/>
    </row>
    <row r="112" ht="15.75" customHeight="1">
      <c r="A112" s="125" t="s">
        <v>352</v>
      </c>
    </row>
    <row r="113" ht="15.75" customHeight="1">
      <c r="A113" s="116" t="s">
        <v>231</v>
      </c>
      <c r="B113" s="23"/>
      <c r="C113" s="25"/>
      <c r="D113" s="25"/>
      <c r="E113" s="25"/>
      <c r="F113" s="25"/>
      <c r="G113" s="25"/>
      <c r="H113" s="26"/>
    </row>
    <row r="114" ht="15.75" customHeight="1">
      <c r="A114" s="116" t="s">
        <v>231</v>
      </c>
      <c r="B114" s="23"/>
      <c r="C114" s="25"/>
      <c r="D114" s="25"/>
      <c r="E114" s="25"/>
      <c r="F114" s="25"/>
      <c r="G114" s="25"/>
      <c r="H114" s="26"/>
    </row>
    <row r="115" ht="15.75" customHeight="1">
      <c r="A115" s="116" t="s">
        <v>231</v>
      </c>
      <c r="B115" s="23"/>
      <c r="C115" s="25"/>
      <c r="D115" s="25"/>
      <c r="E115" s="25"/>
      <c r="F115" s="25"/>
      <c r="G115" s="25"/>
      <c r="H115" s="26"/>
    </row>
    <row r="116" ht="15.75" customHeight="1">
      <c r="A116" s="116" t="s">
        <v>339</v>
      </c>
      <c r="B116" s="23"/>
      <c r="C116" s="25"/>
      <c r="D116" s="25"/>
      <c r="E116" s="25"/>
      <c r="F116" s="25"/>
      <c r="G116" s="25"/>
      <c r="H116" s="26"/>
    </row>
    <row r="117" ht="15.75" customHeight="1">
      <c r="A117" s="110" t="s">
        <v>341</v>
      </c>
      <c r="B117" s="25"/>
      <c r="C117" s="25"/>
      <c r="D117" s="25"/>
      <c r="E117" s="25"/>
      <c r="F117" s="25"/>
      <c r="G117" s="25"/>
      <c r="H117" s="26"/>
    </row>
    <row r="118" ht="15.75" customHeight="1">
      <c r="A118" s="131"/>
      <c r="B118" s="97"/>
      <c r="C118" s="97"/>
      <c r="D118" s="97"/>
      <c r="E118" s="97"/>
      <c r="F118" s="97"/>
      <c r="G118" s="97"/>
      <c r="H118" s="98"/>
    </row>
    <row r="119" ht="15.75" customHeight="1">
      <c r="A119" s="127"/>
      <c r="H119" s="128"/>
    </row>
    <row r="120" ht="15.75" customHeight="1">
      <c r="A120" s="99"/>
      <c r="B120" s="100"/>
      <c r="C120" s="100"/>
      <c r="D120" s="100"/>
      <c r="E120" s="100"/>
      <c r="F120" s="100"/>
      <c r="G120" s="100"/>
      <c r="H120" s="101"/>
    </row>
    <row r="121" ht="15.75" customHeight="1">
      <c r="A121" s="110" t="s">
        <v>343</v>
      </c>
      <c r="B121" s="25"/>
      <c r="C121" s="25"/>
      <c r="D121" s="25"/>
      <c r="E121" s="25"/>
      <c r="F121" s="25"/>
      <c r="G121" s="25"/>
      <c r="H121" s="26"/>
    </row>
    <row r="122" ht="15.75" customHeight="1">
      <c r="A122" s="131"/>
      <c r="B122" s="97"/>
      <c r="C122" s="97"/>
      <c r="D122" s="97"/>
      <c r="E122" s="97"/>
      <c r="F122" s="97"/>
      <c r="G122" s="97"/>
      <c r="H122" s="98"/>
    </row>
    <row r="123" ht="15.75" customHeight="1">
      <c r="A123" s="127"/>
      <c r="H123" s="128"/>
    </row>
    <row r="124" ht="15.75" customHeight="1">
      <c r="A124" s="127"/>
      <c r="H124" s="128"/>
    </row>
    <row r="125" ht="15.75" customHeight="1">
      <c r="A125" s="99"/>
      <c r="B125" s="100"/>
      <c r="C125" s="100"/>
      <c r="D125" s="100"/>
      <c r="E125" s="100"/>
      <c r="F125" s="100"/>
      <c r="G125" s="100"/>
      <c r="H125" s="101"/>
    </row>
    <row r="126" ht="15.75" customHeight="1"/>
    <row r="127" ht="15.75" customHeight="1"/>
    <row r="128" ht="15.75" customHeight="1">
      <c r="A128" s="103" t="s">
        <v>474</v>
      </c>
      <c r="E128" s="70" t="s">
        <v>217</v>
      </c>
      <c r="F128" s="104"/>
      <c r="G128" s="70" t="s">
        <v>338</v>
      </c>
      <c r="H128" s="104"/>
    </row>
    <row r="129" ht="15.75" customHeight="1">
      <c r="A129" s="125" t="s">
        <v>352</v>
      </c>
    </row>
    <row r="130" ht="15.75" customHeight="1">
      <c r="A130" s="116" t="s">
        <v>231</v>
      </c>
      <c r="B130" s="23"/>
      <c r="C130" s="25"/>
      <c r="D130" s="25"/>
      <c r="E130" s="25"/>
      <c r="F130" s="25"/>
      <c r="G130" s="25"/>
      <c r="H130" s="26"/>
    </row>
    <row r="131" ht="15.75" customHeight="1">
      <c r="A131" s="116" t="s">
        <v>231</v>
      </c>
      <c r="B131" s="23"/>
      <c r="C131" s="25"/>
      <c r="D131" s="25"/>
      <c r="E131" s="25"/>
      <c r="F131" s="25"/>
      <c r="G131" s="25"/>
      <c r="H131" s="26"/>
    </row>
    <row r="132" ht="15.75" customHeight="1">
      <c r="A132" s="116" t="s">
        <v>231</v>
      </c>
      <c r="B132" s="23"/>
      <c r="C132" s="25"/>
      <c r="D132" s="25"/>
      <c r="E132" s="25"/>
      <c r="F132" s="25"/>
      <c r="G132" s="25"/>
      <c r="H132" s="26"/>
    </row>
    <row r="133" ht="15.75" customHeight="1">
      <c r="A133" s="116" t="s">
        <v>339</v>
      </c>
      <c r="B133" s="23"/>
      <c r="C133" s="25"/>
      <c r="D133" s="25"/>
      <c r="E133" s="25"/>
      <c r="F133" s="25"/>
      <c r="G133" s="25"/>
      <c r="H133" s="26"/>
    </row>
    <row r="134" ht="15.75" customHeight="1">
      <c r="A134" s="110" t="s">
        <v>341</v>
      </c>
      <c r="B134" s="25"/>
      <c r="C134" s="25"/>
      <c r="D134" s="25"/>
      <c r="E134" s="25"/>
      <c r="F134" s="25"/>
      <c r="G134" s="25"/>
      <c r="H134" s="26"/>
    </row>
    <row r="135" ht="15.75" customHeight="1">
      <c r="A135" s="131"/>
      <c r="B135" s="97"/>
      <c r="C135" s="97"/>
      <c r="D135" s="97"/>
      <c r="E135" s="97"/>
      <c r="F135" s="97"/>
      <c r="G135" s="97"/>
      <c r="H135" s="98"/>
    </row>
    <row r="136" ht="15.75" customHeight="1">
      <c r="A136" s="127"/>
      <c r="H136" s="128"/>
    </row>
    <row r="137" ht="15.75" customHeight="1">
      <c r="A137" s="99"/>
      <c r="B137" s="100"/>
      <c r="C137" s="100"/>
      <c r="D137" s="100"/>
      <c r="E137" s="100"/>
      <c r="F137" s="100"/>
      <c r="G137" s="100"/>
      <c r="H137" s="101"/>
    </row>
    <row r="138" ht="15.75" customHeight="1">
      <c r="A138" s="110" t="s">
        <v>343</v>
      </c>
      <c r="B138" s="25"/>
      <c r="C138" s="25"/>
      <c r="D138" s="25"/>
      <c r="E138" s="25"/>
      <c r="F138" s="25"/>
      <c r="G138" s="25"/>
      <c r="H138" s="26"/>
    </row>
    <row r="139" ht="15.75" customHeight="1">
      <c r="A139" s="131"/>
      <c r="B139" s="97"/>
      <c r="C139" s="97"/>
      <c r="D139" s="97"/>
      <c r="E139" s="97"/>
      <c r="F139" s="97"/>
      <c r="G139" s="97"/>
      <c r="H139" s="98"/>
    </row>
    <row r="140" ht="15.75" customHeight="1">
      <c r="A140" s="127"/>
      <c r="H140" s="128"/>
    </row>
    <row r="141" ht="15.75" customHeight="1">
      <c r="A141" s="127"/>
      <c r="H141" s="128"/>
    </row>
    <row r="142" ht="15.75" customHeight="1">
      <c r="A142" s="99"/>
      <c r="B142" s="100"/>
      <c r="C142" s="100"/>
      <c r="D142" s="100"/>
      <c r="E142" s="100"/>
      <c r="F142" s="100"/>
      <c r="G142" s="100"/>
      <c r="H142" s="101"/>
    </row>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sheetData>
  <mergeCells count="76">
    <mergeCell ref="A94:D94"/>
    <mergeCell ref="B96:H96"/>
    <mergeCell ref="B97:H97"/>
    <mergeCell ref="B98:H98"/>
    <mergeCell ref="B99:H99"/>
    <mergeCell ref="A100:H100"/>
    <mergeCell ref="A101:H103"/>
    <mergeCell ref="A104:H104"/>
    <mergeCell ref="A105:H108"/>
    <mergeCell ref="A111:D111"/>
    <mergeCell ref="B113:H113"/>
    <mergeCell ref="B114:H114"/>
    <mergeCell ref="B115:H115"/>
    <mergeCell ref="B116:H116"/>
    <mergeCell ref="B132:H132"/>
    <mergeCell ref="B133:H133"/>
    <mergeCell ref="A134:H134"/>
    <mergeCell ref="A135:H137"/>
    <mergeCell ref="A138:H138"/>
    <mergeCell ref="A139:H142"/>
    <mergeCell ref="A117:H117"/>
    <mergeCell ref="A118:H120"/>
    <mergeCell ref="A121:H121"/>
    <mergeCell ref="A122:H125"/>
    <mergeCell ref="A128:D128"/>
    <mergeCell ref="B130:H130"/>
    <mergeCell ref="B131:H131"/>
    <mergeCell ref="B2:H2"/>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s>
  <dataValidations>
    <dataValidation type="list" allowBlank="1" showErrorMessage="1" sqref="B11:B13 B28:B30 B45:B47 B62:B64 B79:B81 B96:B98 B113:B115 B130:B132">
      <formula1>Metadata!$B$2:$B$40</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9.63"/>
    <col customWidth="1" min="3" max="3" width="58.75"/>
    <col customWidth="1" min="4" max="4" width="58.38"/>
  </cols>
  <sheetData>
    <row r="1">
      <c r="A1" s="10" t="s">
        <v>360</v>
      </c>
      <c r="B1" s="10" t="s">
        <v>361</v>
      </c>
      <c r="C1" s="10" t="s">
        <v>29</v>
      </c>
      <c r="D1" s="10" t="s">
        <v>31</v>
      </c>
    </row>
    <row r="2">
      <c r="A2" s="10" t="s">
        <v>362</v>
      </c>
      <c r="B2" s="10" t="str">
        <f>Competencias!C13</f>
        <v>Identifica los elementos de una base de datos relacional mediante la exploración de Motores de bases de datos para comprender estructura y organización de datos </v>
      </c>
      <c r="C2" s="5" t="s">
        <v>363</v>
      </c>
      <c r="D2" s="5" t="s">
        <v>80</v>
      </c>
    </row>
    <row r="3">
      <c r="A3" s="10" t="s">
        <v>364</v>
      </c>
      <c r="B3" s="10" t="str">
        <f>Competencias!C15</f>
        <v>Aplica la creación de tablas, consultas y formularios utilizando motores de bases de datos para resolver problemas prácticos de gestión de información </v>
      </c>
      <c r="C3" s="5" t="s">
        <v>39</v>
      </c>
      <c r="D3" s="5" t="s">
        <v>366</v>
      </c>
    </row>
    <row r="4">
      <c r="A4" s="10" t="s">
        <v>367</v>
      </c>
      <c r="B4" s="10" t="str">
        <f>Competencias!C17</f>
        <v>Analiza la relación entre tareas, recursos y cronogramas con Microsoft Project para planificar proyectos académicos o simulados de manera ordenada </v>
      </c>
      <c r="C4" s="5" t="s">
        <v>368</v>
      </c>
      <c r="D4" s="5" t="s">
        <v>96</v>
      </c>
    </row>
    <row r="5">
      <c r="A5" s="10" t="s">
        <v>369</v>
      </c>
      <c r="B5" s="10" t="str">
        <f>Competencias!C19</f>
        <v>Desarolla dasboards interactivos mediante Power BI para visualizar datos integrados de Access y Excel en un entorno práctico </v>
      </c>
      <c r="C5" s="5" t="s">
        <v>59</v>
      </c>
      <c r="D5" s="5" t="s">
        <v>48</v>
      </c>
    </row>
    <row r="6">
      <c r="A6" s="10" t="s">
        <v>370</v>
      </c>
      <c r="B6" s="10" t="str">
        <f>Competencias!C21</f>
        <v>Evalúa la importancia de la ética en el uso de datos mediante el análisis de normativas y casos reales para proponer soluciones tecnológicas </v>
      </c>
      <c r="C6" s="5" t="s">
        <v>92</v>
      </c>
      <c r="D6" s="5" t="s">
        <v>371</v>
      </c>
    </row>
    <row r="7">
      <c r="A7" s="10" t="s">
        <v>372</v>
      </c>
      <c r="B7" s="10" t="str">
        <f>Competencias!C23</f>
        <v>Integra datos de múltiples fuentes con prácticas de laboratorio para generar reportes que appoyen la toma de decisiones </v>
      </c>
      <c r="C7" s="5" t="s">
        <v>373</v>
      </c>
      <c r="D7" s="5" t="s">
        <v>374</v>
      </c>
    </row>
    <row r="8">
      <c r="A8" s="10" t="s">
        <v>375</v>
      </c>
      <c r="B8" s="10" t="str">
        <f>Competencias!C25</f>
        <v>Crea un proyecto final de análisis y presentación de información utilizando Access Project y Power BI de manera conjunta bajo lineamientos de calidad </v>
      </c>
      <c r="C8" s="5" t="s">
        <v>376</v>
      </c>
      <c r="D8" s="5" t="s">
        <v>377</v>
      </c>
    </row>
    <row r="9">
      <c r="A9" s="10" t="s">
        <v>378</v>
      </c>
      <c r="C9" s="5" t="s">
        <v>379</v>
      </c>
    </row>
    <row r="10">
      <c r="A10" s="10" t="s">
        <v>381</v>
      </c>
      <c r="C10" s="5" t="s">
        <v>382</v>
      </c>
    </row>
    <row r="11">
      <c r="A11" s="10" t="s">
        <v>384</v>
      </c>
    </row>
    <row r="12">
      <c r="A12" s="10" t="s">
        <v>386</v>
      </c>
    </row>
    <row r="13">
      <c r="A13" s="10" t="s">
        <v>387</v>
      </c>
    </row>
    <row r="14">
      <c r="A14" s="10" t="s">
        <v>388</v>
      </c>
    </row>
    <row r="15">
      <c r="A15" s="10" t="s">
        <v>389</v>
      </c>
    </row>
    <row r="16">
      <c r="A16" s="10" t="s">
        <v>390</v>
      </c>
    </row>
    <row r="17">
      <c r="A17" s="10" t="s">
        <v>391</v>
      </c>
    </row>
    <row r="18">
      <c r="A18" s="10" t="s">
        <v>392</v>
      </c>
    </row>
    <row r="19">
      <c r="A19" s="10" t="s">
        <v>393</v>
      </c>
    </row>
    <row r="20">
      <c r="A20" s="10" t="s">
        <v>395</v>
      </c>
    </row>
    <row r="21">
      <c r="A21" s="10" t="s">
        <v>396</v>
      </c>
    </row>
    <row r="22">
      <c r="A22" s="10" t="s">
        <v>397</v>
      </c>
    </row>
    <row r="23">
      <c r="A23" s="10" t="s">
        <v>398</v>
      </c>
    </row>
    <row r="24">
      <c r="A24" s="10" t="s">
        <v>399</v>
      </c>
    </row>
    <row r="25">
      <c r="A25" s="10" t="s">
        <v>400</v>
      </c>
    </row>
    <row r="26">
      <c r="A26" s="10" t="s">
        <v>401</v>
      </c>
    </row>
    <row r="27">
      <c r="A27" s="10" t="s">
        <v>402</v>
      </c>
    </row>
    <row r="28">
      <c r="A28" s="10" t="s">
        <v>403</v>
      </c>
    </row>
    <row r="29">
      <c r="A29" s="10" t="s">
        <v>404</v>
      </c>
    </row>
    <row r="30">
      <c r="A30" s="10" t="s">
        <v>405</v>
      </c>
    </row>
    <row r="31">
      <c r="A31" s="10" t="s">
        <v>406</v>
      </c>
    </row>
    <row r="32">
      <c r="A32" s="10" t="s">
        <v>407</v>
      </c>
    </row>
    <row r="33">
      <c r="A33" s="10" t="s">
        <v>408</v>
      </c>
    </row>
    <row r="34">
      <c r="A34" s="10" t="s">
        <v>409</v>
      </c>
    </row>
    <row r="35">
      <c r="A35" s="10" t="s">
        <v>410</v>
      </c>
    </row>
    <row r="36">
      <c r="A36" s="10" t="s">
        <v>411</v>
      </c>
    </row>
    <row r="37">
      <c r="A37" s="10" t="s">
        <v>412</v>
      </c>
    </row>
    <row r="38">
      <c r="A38" s="10" t="s">
        <v>413</v>
      </c>
    </row>
    <row r="39">
      <c r="A39" s="10" t="s">
        <v>414</v>
      </c>
    </row>
    <row r="40">
      <c r="A40" s="10" t="s">
        <v>415</v>
      </c>
    </row>
    <row r="41">
      <c r="A41" s="10" t="s">
        <v>416</v>
      </c>
    </row>
    <row r="42">
      <c r="A42" s="10" t="s">
        <v>417</v>
      </c>
    </row>
    <row r="43">
      <c r="A43" s="10" t="s">
        <v>418</v>
      </c>
    </row>
    <row r="44">
      <c r="A44" s="10" t="s">
        <v>419</v>
      </c>
    </row>
    <row r="45">
      <c r="A45" s="10" t="s">
        <v>420</v>
      </c>
    </row>
    <row r="46">
      <c r="A46" s="10" t="s">
        <v>421</v>
      </c>
    </row>
    <row r="47">
      <c r="A47" s="10" t="s">
        <v>422</v>
      </c>
    </row>
    <row r="48">
      <c r="A48" s="10" t="s">
        <v>423</v>
      </c>
    </row>
    <row r="49">
      <c r="A49" s="10" t="s">
        <v>424</v>
      </c>
    </row>
    <row r="50">
      <c r="A50" s="10" t="s">
        <v>425</v>
      </c>
    </row>
    <row r="51">
      <c r="A51" s="10" t="s">
        <v>426</v>
      </c>
    </row>
    <row r="52">
      <c r="A52" s="10" t="s">
        <v>427</v>
      </c>
    </row>
    <row r="53">
      <c r="A53" s="10" t="s">
        <v>429</v>
      </c>
    </row>
    <row r="54">
      <c r="A54" s="10" t="s">
        <v>430</v>
      </c>
    </row>
    <row r="55">
      <c r="A55" s="10" t="s">
        <v>431</v>
      </c>
    </row>
    <row r="56">
      <c r="A56" s="10" t="s">
        <v>432</v>
      </c>
    </row>
    <row r="57">
      <c r="A57" s="10" t="s">
        <v>433</v>
      </c>
    </row>
    <row r="58">
      <c r="A58" s="10" t="s">
        <v>434</v>
      </c>
    </row>
    <row r="59">
      <c r="A59" s="10" t="s">
        <v>436</v>
      </c>
    </row>
    <row r="60">
      <c r="A60" s="10" t="s">
        <v>437</v>
      </c>
    </row>
    <row r="61">
      <c r="A61" s="10" t="s">
        <v>438</v>
      </c>
    </row>
    <row r="62">
      <c r="A62" s="10" t="s">
        <v>439</v>
      </c>
    </row>
    <row r="63">
      <c r="A63" s="10" t="s">
        <v>442</v>
      </c>
    </row>
    <row r="64">
      <c r="A64" s="10" t="s">
        <v>443</v>
      </c>
    </row>
    <row r="65">
      <c r="A65" s="10" t="s">
        <v>444</v>
      </c>
    </row>
    <row r="66">
      <c r="A66" s="10" t="s">
        <v>445</v>
      </c>
    </row>
    <row r="67">
      <c r="A67" s="10" t="s">
        <v>446</v>
      </c>
    </row>
    <row r="68">
      <c r="A68" s="10" t="s">
        <v>447</v>
      </c>
    </row>
    <row r="69">
      <c r="A69" s="10" t="s">
        <v>448</v>
      </c>
    </row>
    <row r="70">
      <c r="A70" s="10" t="s">
        <v>449</v>
      </c>
    </row>
    <row r="71">
      <c r="A71" s="10" t="s">
        <v>450</v>
      </c>
    </row>
    <row r="72">
      <c r="A72" s="10" t="s">
        <v>451</v>
      </c>
    </row>
    <row r="73">
      <c r="A73" s="10" t="s">
        <v>452</v>
      </c>
    </row>
    <row r="74">
      <c r="A74" s="10" t="s">
        <v>453</v>
      </c>
    </row>
    <row r="75">
      <c r="A75" s="10" t="s">
        <v>455</v>
      </c>
    </row>
    <row r="76">
      <c r="A76" s="10" t="s">
        <v>456</v>
      </c>
    </row>
    <row r="77">
      <c r="A77" s="10" t="s">
        <v>457</v>
      </c>
    </row>
    <row r="78">
      <c r="A78" s="10" t="s">
        <v>458</v>
      </c>
    </row>
    <row r="79">
      <c r="A79" s="10" t="s">
        <v>4</v>
      </c>
    </row>
    <row r="80">
      <c r="A80" s="10" t="s">
        <v>459</v>
      </c>
    </row>
    <row r="81">
      <c r="A81" s="10" t="s">
        <v>460</v>
      </c>
    </row>
  </sheetData>
  <drawing r:id="rId1"/>
</worksheet>
</file>